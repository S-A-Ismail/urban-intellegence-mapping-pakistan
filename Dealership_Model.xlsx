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Visuals" sheetId="2" state="visible" r:id="rId4"/>
    <sheet name="Assumptions" sheetId="3" state="visible" r:id="rId5"/>
    <sheet name="CensusBase" sheetId="4" state="visible" r:id="rId6"/>
    <sheet name="Projection" sheetId="5" state="visible" r:id="rId7"/>
    <sheet name="HyperMarkets" sheetId="6" state="visible" r:id="rId8"/>
    <sheet name="PumpPoints" sheetId="7" state="visible" r:id="rId9"/>
    <sheet name="FeeSchedule" sheetId="8" state="visible" r:id="rId10"/>
    <sheet name="Quotas" sheetId="9" state="visible" r:id="rId11"/>
    <sheet name="Economics" sheetId="10" state="visible" r:id="rId12"/>
    <sheet name="DealerStructure"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<sst xmlns="http://schemas.openxmlformats.org/spreadsheetml/2006/main" count="580" uniqueCount="362">
  <si>
    <t xml:space="preserve">DEALER TERRITORY &amp; FEE MODEL — HOW TO READ THIS WORKBOOK</t>
  </si>
  <si>
    <t xml:space="preserve">Built 7 September 2026 on PBS Census 2023. Everything here is a formula chain — change an input and every sheet updates.</t>
  </si>
  <si>
    <t xml:space="preserve">THE IDEA IN ONE PARAGRAPH</t>
  </si>
  <si>
    <t xml:space="preserve">A pump is bought when a house is built, or when the old pump dies. So each territory's value is the number of houses in it, how fast new ones are being</t>
  </si>
  <si>
    <t xml:space="preserve">built, how many old pumps are due for replacement, and how much a customer there will pay. We turn each of those into a number, weight them, and get</t>
  </si>
  <si>
    <t xml:space="preserve">a 'Fee Unit' score for each territory. One anchor price (e.g. DHA Phase VIII = Rs 1.5 Cr) fixes what a Fee Unit is worth in rupees, and every other</t>
  </si>
  <si>
    <t xml:space="preserve">fee follows arithmetically. The same market numbers also set each dealer's sales quota, and from that we show what they can earn.</t>
  </si>
  <si>
    <t xml:space="preserve">COLOUR CODE</t>
  </si>
  <si>
    <t xml:space="preserve">Blue text on yellow  =  an input you can change.        Black text  =  a formula.        Green text  =  pulled from another sheet.</t>
  </si>
  <si>
    <t xml:space="preserve">Cream row under each header  =  plain-English explanation of that column.</t>
  </si>
  <si>
    <t xml:space="preserve">THE SHEETS, IN ORDER</t>
  </si>
  <si>
    <t xml:space="preserve">1. Assumptions      Every lever in one place. Change these; touch nothing else.</t>
  </si>
  <si>
    <t xml:space="preserve">2. CensusBase       The 22 official regions from PBS Census 2023, with the house-vs-flat assumption.</t>
  </si>
  <si>
    <t xml:space="preserve">3. Projection       Population and households for every year 2023-2030, by region and by city.</t>
  </si>
  <si>
    <t xml:space="preserve">4. HyperMarkets     The 7 DHA-Phase-VIII-class enclaves, treated as their own territories and subtracted from their parents.</t>
  </si>
  <si>
    <t xml:space="preserve">5. PumpPoints       Converts households into serviceable pump points, split into new-build and replacement channels.</t>
  </si>
  <si>
    <t xml:space="preserve">6. FeeSchedule      The Fee Unit score for each of the 29 territories, and the rupee fee under two anchor scenarios side by side.</t>
  </si>
  <si>
    <t xml:space="preserve">7. Quotas           How many pumps each dealer should sell per quarter, derived from the market, not from the fee.</t>
  </si>
  <si>
    <t xml:space="preserve">8. Economics        Top line (sales), bottom line (profit after paying off the fee), payback and 4-year return, per territory.</t>
  </si>
  <si>
    <t xml:space="preserve">9. DealerStructure  The ten city dealerships, with hyper markets as optional carve-outs.</t>
  </si>
  <si>
    <t xml:space="preserve">10. Visuals         Live charts of fees, sales, profit, payback and population growth. They redraw when inputs change.</t>
  </si>
  <si>
    <t xml:space="preserve">TWO WORDS DEFINED</t>
  </si>
  <si>
    <t xml:space="preserve">Top line  =  total sales revenue, before any costs.      Bottom line  =  what the dealer keeps after gross margin and after paying off the licence fee.</t>
  </si>
  <si>
    <t xml:space="preserve">THE TWO QUESTIONS YOU ASKED, AND WHERE THE ANSWER IS</t>
  </si>
  <si>
    <t xml:space="preserve">CHOSEN: Islamabad whole city = Rs 1.00 Cr  →  Scenario A on Assumptions. FeeSchedule column H.</t>
  </si>
  <si>
    <t xml:space="preserve">Alternative kept for comparison: DHA Phase VIII = Rs 1.5 Cr  →  Scenario B. FeeSchedule column J.</t>
  </si>
  <si>
    <t xml:space="preserve">Pick which one feeds Economics and Visuals with the selector on Assumptions row 45.</t>
  </si>
  <si>
    <t xml:space="preserve">HOW THE FEE IS PAID OFF</t>
  </si>
  <si>
    <t xml:space="preserve">The fee is paid once and covers a 4-year term. Half comes back immediately as inventory the dealer sells, so their real cash outlay is half the fee.</t>
  </si>
  <si>
    <t xml:space="preserve">Economics spreads that outlay across the 4 years and subtracts it from each year's gross profit — that is what 'amortised' means here.</t>
  </si>
  <si>
    <t xml:space="preserve">WHAT IS ASSUMED, NOT MEASURED</t>
  </si>
  <si>
    <t xml:space="preserve">The house-vs-flat split, the ASP tier multipliers, the market shares, pump life, dealer margin, and every hyper-market house count. All are marked</t>
  </si>
  <si>
    <t xml:space="preserve">ASSUMED on the Assumptions sheet with a note on where the real number comes from. The census figures and the arithmetic are not assumptions.</t>
  </si>
  <si>
    <t xml:space="preserve">VISUALS — LIVE CHARTS</t>
  </si>
  <si>
    <t xml:space="preserve">Every chart reads from the other sheets. Change an assumption or the active scenario and they redraw. Nothing on this sheet is typed in.</t>
  </si>
  <si>
    <t xml:space="preserve">HOW TO USE THIS SHEET</t>
  </si>
  <si>
    <t xml:space="preserve">1. Go to Assumptions. Change any blue cell.</t>
  </si>
  <si>
    <t xml:space="preserve">2. Set 'Active scenario' to A or B.</t>
  </si>
  <si>
    <t xml:space="preserve">3. Come back here — every chart has redrawn.</t>
  </si>
  <si>
    <t xml:space="preserve">Chart 1 compares the two anchors directly.</t>
  </si>
  <si>
    <t xml:space="preserve">Charts 2-3 are top line and bottom line per territory.</t>
  </si>
  <si>
    <t xml:space="preserve">Chart 4 is the sanity check: any bar above 48 months</t>
  </si>
  <si>
    <t xml:space="preserve">   is a territory that will not sell at that anchor.</t>
  </si>
  <si>
    <t xml:space="preserve">Chart 5 is the quota. Charts 6-7 are the census projection.</t>
  </si>
  <si>
    <t xml:space="preserve">ASSUMPTIONS — EVERY LEVER IN THE MODEL</t>
  </si>
  <si>
    <t xml:space="preserve">Blue-on-yellow cells are yours to change. Column C says what each one does and whether it is measured or assumed. Nothing else in the workbook needs editing.</t>
  </si>
  <si>
    <t xml:space="preserve">HOW HOUSEHOLDS BECOME PUMP POINTS</t>
  </si>
  <si>
    <t xml:space="preserve">Pump sets per independent house</t>
  </si>
  <si>
    <t xml:space="preserve">An independent house usually needs one pump and often two (transfer + booster). 1.2 is a blend. ASSUMED — replace from your installation records.</t>
  </si>
  <si>
    <t xml:space="preserve">Flats per booster set</t>
  </si>
  <si>
    <t xml:space="preserve">One booster set serves a whole block of flats, so a flat is worth 1/40th of a house. ASSUMED — replace from your records.</t>
  </si>
  <si>
    <t xml:space="preserve">Average pump life (years)</t>
  </si>
  <si>
    <t xml:space="preserve">How long a pump lasts before it is replaced. Drives the replacement channel. ASSUMED.</t>
  </si>
  <si>
    <t xml:space="preserve">Dealership term (years)</t>
  </si>
  <si>
    <t xml:space="preserve">The window over which new-build and replacement demand is counted, and over which the fee is amortised.</t>
  </si>
  <si>
    <t xml:space="preserve">Growth rate cap</t>
  </si>
  <si>
    <t xml:space="preserve">Census growth 2017-23 is capped here. Karachi's raw 4.09% mostly reflects a disputed 2017 undercount, not real growth.</t>
  </si>
  <si>
    <t xml:space="preserve">COMMERCIALS</t>
  </si>
  <si>
    <t xml:space="preserve">Average pump selling price (PKR)</t>
  </si>
  <si>
    <t xml:space="preserve">Supplied by you. Used for revenue and for converting the inventory credit into units.</t>
  </si>
  <si>
    <t xml:space="preserve">Dealer gross margin</t>
  </si>
  <si>
    <t xml:space="preserve">The share of each sale the dealer keeps before their own costs. ASSUMED — drives every profit and payback figure.</t>
  </si>
  <si>
    <t xml:space="preserve">Inventory credit (fraction of fee)</t>
  </si>
  <si>
    <t xml:space="preserve">The dealer is credited stock worth this share of their fee. Their real cash outlay is the remainder.</t>
  </si>
  <si>
    <t xml:space="preserve">Whole-city exclusivity premium</t>
  </si>
  <si>
    <t xml:space="preserve">Added when one dealer takes an entire city, to price the option of blocking future entrants.</t>
  </si>
  <si>
    <t xml:space="preserve">HOW MUCH A CUSTOMER PAYS — ASP TIER MULTIPLIERS</t>
  </si>
  <si>
    <t xml:space="preserve">ASP S — Hyper (DHA Ph VIII class)</t>
  </si>
  <si>
    <t xml:space="preserve">Newest premium bungalow stock at the highest achievable price. ASSUMED.</t>
  </si>
  <si>
    <t xml:space="preserve">ASP A — Premium</t>
  </si>
  <si>
    <t xml:space="preserve">Established premium: Clifton, DHA I-VI, Lahore Cantt, CDA sectors. ASSUMED.</t>
  </si>
  <si>
    <t xml:space="preserve">ASP B — Upper-mid</t>
  </si>
  <si>
    <t xml:space="preserve">ASSUMED.</t>
  </si>
  <si>
    <t xml:space="preserve">ASP C — Mass</t>
  </si>
  <si>
    <t xml:space="preserve">Baseline. Everything else is a multiple of this.</t>
  </si>
  <si>
    <t xml:space="preserve">HOW MUCH OF THE MARKET GRUNDFOS CAN WIN — SHARE BY TIER</t>
  </si>
  <si>
    <t xml:space="preserve">Share S — Hyper</t>
  </si>
  <si>
    <t xml:space="preserve">Share of ALL pump installations in that territory, not just the premium ones. ASSUMED — the biggest single driver of quota.</t>
  </si>
  <si>
    <t xml:space="preserve">Share A — Premium</t>
  </si>
  <si>
    <t xml:space="preserve">Share B — Upper-mid</t>
  </si>
  <si>
    <t xml:space="preserve">Share C — Mass</t>
  </si>
  <si>
    <t xml:space="preserve">Grundfos loses to cheap local pumps here. ASSUMED.</t>
  </si>
  <si>
    <t xml:space="preserve">HOW THE FEE INDEX IS WEIGHTED (must total 100%)</t>
  </si>
  <si>
    <t xml:space="preserve">Weight: new construction</t>
  </si>
  <si>
    <t xml:space="preserve">Houses being built now — a decision being made today.</t>
  </si>
  <si>
    <t xml:space="preserve">Weight: replacement due</t>
  </si>
  <si>
    <t xml:space="preserve">Old pumps reaching end of life inside the term.</t>
  </si>
  <si>
    <t xml:space="preserve">Weight: installed base</t>
  </si>
  <si>
    <t xml:space="preserve">Everything standing — service, spares, second units.</t>
  </si>
  <si>
    <t xml:space="preserve">Weight: area</t>
  </si>
  <si>
    <t xml:space="preserve">Territorial exclusivity. Kept small so a dealer is not charged for empty land.</t>
  </si>
  <si>
    <t xml:space="preserve">Weight total</t>
  </si>
  <si>
    <t xml:space="preserve">Must read 100%.</t>
  </si>
  <si>
    <t xml:space="preserve">PRICE ANCHORS — A IS THE CHOSEN ANCHOR</t>
  </si>
  <si>
    <t xml:space="preserve">Scenario A: anchor on</t>
  </si>
  <si>
    <t xml:space="preserve">Islamabad</t>
  </si>
  <si>
    <t xml:space="preserve">CHOSEN ANCHOR. Whole city of Islamabad. A territory name from PumpPoints column B, or a city name.</t>
  </si>
  <si>
    <t xml:space="preserve">Scenario A: anchor fee (PKR)</t>
  </si>
  <si>
    <t xml:space="preserve">Islamabad whole-city rights = Rs 1.00 Cr. Every other fee in the model follows from this.</t>
  </si>
  <si>
    <t xml:space="preserve">Scenario B: anchor on</t>
  </si>
  <si>
    <t xml:space="preserve">DHA Phase VIII + Sahil</t>
  </si>
  <si>
    <t xml:space="preserve">Alternative, kept for comparison only.</t>
  </si>
  <si>
    <t xml:space="preserve">Scenario B: anchor fee (PKR)</t>
  </si>
  <si>
    <t xml:space="preserve">The higher-anchor alternative. Not in use.</t>
  </si>
  <si>
    <t xml:space="preserve">Active scenario for Economics &amp; Visuals</t>
  </si>
  <si>
    <t xml:space="preserve">A</t>
  </si>
  <si>
    <t xml:space="preserve">A = Islamabad Rs 1 Cr (chosen). B = DHA Rs 1.5 Cr.</t>
  </si>
  <si>
    <t xml:space="preserve">Scenario A rate (PKR per Fee Unit)</t>
  </si>
  <si>
    <t xml:space="preserve">Computed.</t>
  </si>
  <si>
    <t xml:space="preserve">Scenario B rate (PKR per Fee Unit)</t>
  </si>
  <si>
    <t xml:space="preserve">Active rate (PKR per Fee Unit)</t>
  </si>
  <si>
    <t xml:space="preserve">YEAR-ONE QUOTA RAMP</t>
  </si>
  <si>
    <t xml:space="preserve">Ramp Q1</t>
  </si>
  <si>
    <t xml:space="preserve">A new dealer cannot hit full speed while still hiring technicians.</t>
  </si>
  <si>
    <t xml:space="preserve">Ramp Q2</t>
  </si>
  <si>
    <t xml:space="preserve">Ramp Q3</t>
  </si>
  <si>
    <t xml:space="preserve">Ramp Q4</t>
  </si>
  <si>
    <t xml:space="preserve">ANCHOR DIAGNOSTIC (active scenario)</t>
  </si>
  <si>
    <t xml:space="preserve">Total network entry fees (PKR)</t>
  </si>
  <si>
    <t xml:space="preserve">Sum of all 29 territories at the active anchor.</t>
  </si>
  <si>
    <t xml:space="preserve">Fastest dealer payback (months)</t>
  </si>
  <si>
    <t xml:space="preserve">Below ~12 months the fee is closer to a deposit than a licence.</t>
  </si>
  <si>
    <t xml:space="preserve">Median dealer payback (months)</t>
  </si>
  <si>
    <t xml:space="preserve">18-30 months is normal for exclusive distribution rights.</t>
  </si>
  <si>
    <t xml:space="preserve">Slowest dealer payback (months)</t>
  </si>
  <si>
    <t xml:space="preserve">Above ~48 months that territory will not sell. Find it on Economics.</t>
  </si>
  <si>
    <t xml:space="preserve">Payback spread (max / min)</t>
  </si>
  <si>
    <t xml:space="preserve">Wide spread = fee index and quota disagree. Move the anchor or revisit the tier shares.</t>
  </si>
  <si>
    <t xml:space="preserve">Network top line / yr (PKR)</t>
  </si>
  <si>
    <t xml:space="preserve">Total sales across all dealers at steady state.</t>
  </si>
  <si>
    <t xml:space="preserve">Network bottom line / yr (PKR)</t>
  </si>
  <si>
    <t xml:space="preserve">Total dealer profit after fees at steady state.</t>
  </si>
  <si>
    <t xml:space="preserve">CENSUS BASE — THE 22 OFFICIAL REGIONS</t>
  </si>
  <si>
    <t xml:space="preserve">Columns C-H are PBS Census 2023 figures plus one stated assumption (house share). Everything from column I onward is arithmetic on those. The cream row explains each column.</t>
  </si>
  <si>
    <t xml:space="preserve">City</t>
  </si>
  <si>
    <t xml:space="preserve">Region</t>
  </si>
  <si>
    <t xml:space="preserve">Area km²</t>
  </si>
  <si>
    <t xml:space="preserve">Pop 2017</t>
  </si>
  <si>
    <t xml:space="preserve">Pop 2023</t>
  </si>
  <si>
    <t xml:space="preserve">HH size</t>
  </si>
  <si>
    <t xml:space="preserve">House share</t>
  </si>
  <si>
    <t xml:space="preserve">ASP tier</t>
  </si>
  <si>
    <t xml:space="preserve">Raw growth</t>
  </si>
  <si>
    <t xml:space="preserve">Capped growth</t>
  </si>
  <si>
    <t xml:space="preserve">SPP factor</t>
  </si>
  <si>
    <t xml:space="preserve">HH 2026</t>
  </si>
  <si>
    <t xml:space="preserve">SPP 2018</t>
  </si>
  <si>
    <t xml:space="preserve">SPP 2026</t>
  </si>
  <si>
    <t xml:space="preserve">SPP 2030</t>
  </si>
  <si>
    <t xml:space="preserve">Census unit</t>
  </si>
  <si>
    <t xml:space="preserve">Census, sq km</t>
  </si>
  <si>
    <t xml:space="preserve">Census 2017</t>
  </si>
  <si>
    <t xml:space="preserve">Census 2023</t>
  </si>
  <si>
    <t xml:space="preserve">People per household, census</t>
  </si>
  <si>
    <t xml:space="preserve">Share of households that are independent houses (not flats). ASSUMED.</t>
  </si>
  <si>
    <t xml:space="preserve">Price tier: S/A/B/C, see Assumptions</t>
  </si>
  <si>
    <t xml:space="preserve">(Pop2023 / Pop2017)^(1/6) - 1: yearly growth between the two censuses</t>
  </si>
  <si>
    <t xml:space="preserve">Raw growth, but no lower than 0% and no higher than the cap</t>
  </si>
  <si>
    <t xml:space="preserve">Pump points per household = share × sets-per-house + (1-share) / flats-per-set</t>
  </si>
  <si>
    <t xml:space="preserve">Households in 2026 = Pop2023 grown 3 years, divided by HH size</t>
  </si>
  <si>
    <t xml:space="preserve">Pump points 8 years before the term — what is now due for replacement</t>
  </si>
  <si>
    <t xml:space="preserve">Pump points today</t>
  </si>
  <si>
    <t xml:space="preserve">Pump points at the end of the term</t>
  </si>
  <si>
    <t xml:space="preserve">Karachi</t>
  </si>
  <si>
    <t xml:space="preserve">Karachi East</t>
  </si>
  <si>
    <t xml:space="preserve">B</t>
  </si>
  <si>
    <t xml:space="preserve">Karachi Central</t>
  </si>
  <si>
    <t xml:space="preserve">C</t>
  </si>
  <si>
    <t xml:space="preserve">Korangi</t>
  </si>
  <si>
    <t xml:space="preserve">Karachi West</t>
  </si>
  <si>
    <t xml:space="preserve">Malir</t>
  </si>
  <si>
    <t xml:space="preserve">Karachi South</t>
  </si>
  <si>
    <t xml:space="preserve">Keamari</t>
  </si>
  <si>
    <t xml:space="preserve">Lahore</t>
  </si>
  <si>
    <t xml:space="preserve">Lahore City</t>
  </si>
  <si>
    <t xml:space="preserve">Model Town</t>
  </si>
  <si>
    <t xml:space="preserve">Shalimar</t>
  </si>
  <si>
    <t xml:space="preserve">Lahore Cantt</t>
  </si>
  <si>
    <t xml:space="preserve">Raiwind</t>
  </si>
  <si>
    <t xml:space="preserve">Multan</t>
  </si>
  <si>
    <t xml:space="preserve">Multan City</t>
  </si>
  <si>
    <t xml:space="preserve">Multan Saddar</t>
  </si>
  <si>
    <t xml:space="preserve">Shujabad</t>
  </si>
  <si>
    <t xml:space="preserve">Jalalpur Pirwala</t>
  </si>
  <si>
    <t xml:space="preserve">Peshawar</t>
  </si>
  <si>
    <t xml:space="preserve">Peshawar City</t>
  </si>
  <si>
    <t xml:space="preserve">East Ring</t>
  </si>
  <si>
    <t xml:space="preserve">North-West Ring</t>
  </si>
  <si>
    <t xml:space="preserve">South Belt</t>
  </si>
  <si>
    <t xml:space="preserve">ICT Rural belt</t>
  </si>
  <si>
    <t xml:space="preserve">ICT Urban</t>
  </si>
  <si>
    <t xml:space="preserve">TOTAL — 22 regions</t>
  </si>
  <si>
    <t xml:space="preserve">SOURCES</t>
  </si>
  <si>
    <t xml:space="preserve">Population, area, household size: PBS Census 2023 Table 1 (Sindh, Punjab, KP, ICT district tables). Multan household total confirmed against PBS Table 34 to within 0.007%.</t>
  </si>
  <si>
    <t xml:space="preserve">House share is NOT in the census. PBS Table 20 gives Pakka/Semi-Pakka/Kacha (building material), not house vs flat. This column is a judgement to be replaced by</t>
  </si>
  <si>
    <t xml:space="preserve">building-approval records (SBCA/LDA/CDA/PDA/MDA) or by utility connection counts, which separate individual house meters from bulk building meters.</t>
  </si>
  <si>
    <t xml:space="preserve">PROJECTION — POPULATION AND HOUSEHOLDS, 2023 TO 2030</t>
  </si>
  <si>
    <t xml:space="preserve">Each region grows every year at its capped census rate. 2023 is the census; 2024-2030 are projections. The lower block adds the regions up by city; the Visuals sheet charts it.</t>
  </si>
  <si>
    <t xml:space="preserve">Pop 2024</t>
  </si>
  <si>
    <t xml:space="preserve">Pop 2025</t>
  </si>
  <si>
    <t xml:space="preserve">Pop 2026</t>
  </si>
  <si>
    <t xml:space="preserve">Pop 2027</t>
  </si>
  <si>
    <t xml:space="preserve">Pop 2028</t>
  </si>
  <si>
    <t xml:space="preserve">Pop 2029</t>
  </si>
  <si>
    <t xml:space="preserve">Pop 2030</t>
  </si>
  <si>
    <t xml:space="preserve">HH 2023</t>
  </si>
  <si>
    <t xml:space="preserve">HH 2024</t>
  </si>
  <si>
    <t xml:space="preserve">HH 2025</t>
  </si>
  <si>
    <t xml:space="preserve">HH 2027</t>
  </si>
  <si>
    <t xml:space="preserve">HH 2028</t>
  </si>
  <si>
    <t xml:space="preserve">HH 2029</t>
  </si>
  <si>
    <t xml:space="preserve">HH 2030</t>
  </si>
  <si>
    <t xml:space="preserve">Census</t>
  </si>
  <si>
    <t xml:space="preserve">Previous year × (1 + capped growth)</t>
  </si>
  <si>
    <t xml:space="preserve">Pop ÷ HH size</t>
  </si>
  <si>
    <t xml:space="preserve">BY CITY</t>
  </si>
  <si>
    <t xml:space="preserve">HYPER MARKETS — THE DHA PHASE VIII TIER</t>
  </si>
  <si>
    <t xml:space="preserve">Seven enclaves with new bungalow stock and the highest selling prices. Each is priced as its own territory and subtracted from the region it sits inside, so nothing is counted twice. The built-house count is the one input to replace when DHA / Bahria / CDA supply plot data.</t>
  </si>
  <si>
    <t xml:space="preserve">Hyper market</t>
  </si>
  <si>
    <t xml:space="preserve">Carved out of</t>
  </si>
  <si>
    <t xml:space="preserve">Dealership</t>
  </si>
  <si>
    <t xml:space="preserve">Built houses 2026</t>
  </si>
  <si>
    <t xml:space="preserve">Growth</t>
  </si>
  <si>
    <t xml:space="preserve">The region this sits inside</t>
  </si>
  <si>
    <t xml:space="preserve">Parent club, if not sold separately</t>
  </si>
  <si>
    <t xml:space="preserve">Approximate developed area</t>
  </si>
  <si>
    <t xml:space="preserve">ESTIMATED occupied houses today. Replace with plot + occupancy data.</t>
  </si>
  <si>
    <t xml:space="preserve">Actively building, so growth is set at the cap</t>
  </si>
  <si>
    <t xml:space="preserve">Houses 8 years ago × sets per house</t>
  </si>
  <si>
    <t xml:space="preserve">Houses × sets per house</t>
  </si>
  <si>
    <t xml:space="preserve">Houses 4 years on × sets per house</t>
  </si>
  <si>
    <t xml:space="preserve">KHI-1</t>
  </si>
  <si>
    <t xml:space="preserve">Bahria Town Karachi</t>
  </si>
  <si>
    <t xml:space="preserve">KHI-4</t>
  </si>
  <si>
    <t xml:space="preserve">DHA Lahore VII-IX + EME</t>
  </si>
  <si>
    <t xml:space="preserve">LHE-1</t>
  </si>
  <si>
    <t xml:space="preserve">Bahria Town Lahore + Lake City</t>
  </si>
  <si>
    <t xml:space="preserve">DHA Islamabad + Bahria Enclave</t>
  </si>
  <si>
    <t xml:space="preserve">ISB-1</t>
  </si>
  <si>
    <t xml:space="preserve">Hayatabad Ph 6-7 + DHA Peshawar</t>
  </si>
  <si>
    <t xml:space="preserve">PEW-1</t>
  </si>
  <si>
    <t xml:space="preserve">DHA Multan</t>
  </si>
  <si>
    <t xml:space="preserve">MUX-1</t>
  </si>
  <si>
    <t xml:space="preserve">TOTAL — 7 hyper markets</t>
  </si>
  <si>
    <t xml:space="preserve">PUMP POINTS — ALL 29 TERRITORIES</t>
  </si>
  <si>
    <t xml:space="preserve">A pump point is one place a pump gets installed. A house is 1.2 of them; a flat is 1/40th. Regions here are net of any hyper market inside them. The last three columns multiply by the ASP tier to give 'revenue-weighted' points — a DHA point is worth several Orangi points.</t>
  </si>
  <si>
    <t xml:space="preserve">Territory</t>
  </si>
  <si>
    <t xml:space="preserve">Type</t>
  </si>
  <si>
    <t xml:space="preserve">Tier</t>
  </si>
  <si>
    <t xml:space="preserve">New build</t>
  </si>
  <si>
    <t xml:space="preserve">Replacement</t>
  </si>
  <si>
    <t xml:space="preserve">ASP ×</t>
  </si>
  <si>
    <t xml:space="preserve">RPP base</t>
  </si>
  <si>
    <t xml:space="preserve">RPP new</t>
  </si>
  <si>
    <t xml:space="preserve">RPP repl</t>
  </si>
  <si>
    <t xml:space="preserve">Region or Hyper</t>
  </si>
  <si>
    <t xml:space="preserve">S/A/B/C</t>
  </si>
  <si>
    <t xml:space="preserve">Club code</t>
  </si>
  <si>
    <t xml:space="preserve">Net of carve-out</t>
  </si>
  <si>
    <t xml:space="preserve">Pump points 8 years ago, net</t>
  </si>
  <si>
    <t xml:space="preserve">Pump points today, net</t>
  </si>
  <si>
    <t xml:space="preserve">End of term, net</t>
  </si>
  <si>
    <t xml:space="preserve">SPP 2030 - SPP 2026: points added by construction during the term</t>
  </si>
  <si>
    <t xml:space="preserve">SPP 2018 × term ÷ life: old pumps falling due inside the term</t>
  </si>
  <si>
    <t xml:space="preserve">Price multiplier from Assumptions</t>
  </si>
  <si>
    <t xml:space="preserve">SPP 2026 × ASP</t>
  </si>
  <si>
    <t xml:space="preserve">New build × ASP</t>
  </si>
  <si>
    <t xml:space="preserve">Replacement × ASP</t>
  </si>
  <si>
    <t xml:space="preserve">KHI-2</t>
  </si>
  <si>
    <t xml:space="preserve">KHI-3</t>
  </si>
  <si>
    <t xml:space="preserve">LHE-2</t>
  </si>
  <si>
    <t xml:space="preserve">LHE-3</t>
  </si>
  <si>
    <t xml:space="preserve">Hyper</t>
  </si>
  <si>
    <t xml:space="preserve">S</t>
  </si>
  <si>
    <t xml:space="preserve">TOTAL — 29 territories</t>
  </si>
  <si>
    <t xml:space="preserve">FEE SCHEDULE — ANCHORED ON ISLAMABAD AT Rs 1 Cr</t>
  </si>
  <si>
    <t xml:space="preserve">Fee Units are a score out of 100 across all 29 territories. A territory's fee is its units × the rate, and the rate is whatever makes the anchor territory hit its anchor price. Column H is the chosen schedule (Islamabad whole city = Rs 1 Cr). Column J shows the higher DHA anchor for comparison only.</t>
  </si>
  <si>
    <t xml:space="preserve">Fee Units</t>
  </si>
  <si>
    <t xml:space="preserve">Share of national</t>
  </si>
  <si>
    <t xml:space="preserve">FEE — CHOSEN (PKR)</t>
  </si>
  <si>
    <t xml:space="preserve">Chosen Rs Cr</t>
  </si>
  <si>
    <t xml:space="preserve">Fee — Alt anchor (PKR)</t>
  </si>
  <si>
    <t xml:space="preserve">Alt Rs Cr</t>
  </si>
  <si>
    <t xml:space="preserve">Active fee (PKR)</t>
  </si>
  <si>
    <t xml:space="preserve">Inventory credit (PKR)</t>
  </si>
  <si>
    <t xml:space="preserve">Inventory units</t>
  </si>
  <si>
    <t xml:space="preserve">45% new-build share + 35% replacement share + 15% base share + 5% area share, each measured against the national total, ×100</t>
  </si>
  <si>
    <t xml:space="preserve">Fee Units ÷ 100</t>
  </si>
  <si>
    <t xml:space="preserve">Units × chosen rate (Islamabad Rs 1 Cr)</t>
  </si>
  <si>
    <t xml:space="preserve">Same in crore</t>
  </si>
  <si>
    <t xml:space="preserve">Units × alternative rate (DHA Rs 1.5 Cr)</t>
  </si>
  <si>
    <t xml:space="preserve">Whichever scenario is active on Assumptions</t>
  </si>
  <si>
    <t xml:space="preserve">Active fee × credit fraction — stock the dealer receives</t>
  </si>
  <si>
    <t xml:space="preserve">Credit ÷ pump price — how many pumps that is</t>
  </si>
  <si>
    <t xml:space="preserve">TOTAL network</t>
  </si>
  <si>
    <t xml:space="preserve">QUOTAS — HOW MANY PUMPS EACH DEALER SHOULD SELL</t>
  </si>
  <si>
    <t xml:space="preserve">The quota comes from the market, not from the fee: how many pumps get bought in that territory each year, times a realistic Grundfos share. Year one ramps up because a new dealer cannot hit full speed in their first quarter.</t>
  </si>
  <si>
    <t xml:space="preserve">Addressable / yr</t>
  </si>
  <si>
    <t xml:space="preserve">Grundfos share</t>
  </si>
  <si>
    <t xml:space="preserve">Units / yr</t>
  </si>
  <si>
    <t xml:space="preserve">Steady / qtr</t>
  </si>
  <si>
    <t xml:space="preserve">Y1 Q1</t>
  </si>
  <si>
    <t xml:space="preserve">Y1 Q2</t>
  </si>
  <si>
    <t xml:space="preserve">Y1 Q3</t>
  </si>
  <si>
    <t xml:space="preserve">Y1 Q4</t>
  </si>
  <si>
    <t xml:space="preserve">Year-1 units</t>
  </si>
  <si>
    <t xml:space="preserve">(New build + replacement) ÷ term: pumps bought in this territory per year, all brands</t>
  </si>
  <si>
    <t xml:space="preserve">Share Grundfos can realistically win, from Assumptions</t>
  </si>
  <si>
    <t xml:space="preserve">Addressable × share</t>
  </si>
  <si>
    <t xml:space="preserve">Units / yr ÷ 4</t>
  </si>
  <si>
    <t xml:space="preserve">Steady × ramp</t>
  </si>
  <si>
    <t xml:space="preserve">Sum of the four quarters</t>
  </si>
  <si>
    <t xml:space="preserve">ECONOMICS — TOP LINE, BOTTOM LINE, AND PAYING OFF THE FEE</t>
  </si>
  <si>
    <t xml:space="preserve">For each territory: what the dealer sells (top line), what they keep as gross margin, what the licence costs them per year once it is spread over the term, and what is left (bottom line). Uses the active scenario. The fee is paid once; half returns as stock; the rest is amortised across the term.</t>
  </si>
  <si>
    <t xml:space="preserve">Net cash outlay (PKR)</t>
  </si>
  <si>
    <t xml:space="preserve">Fee per year (PKR)</t>
  </si>
  <si>
    <t xml:space="preserve">TOP LINE: sales / yr (PKR)</t>
  </si>
  <si>
    <t xml:space="preserve">Gross profit / yr (PKR)</t>
  </si>
  <si>
    <t xml:space="preserve">BOTTOM LINE: profit after fee / yr (PKR)</t>
  </si>
  <si>
    <t xml:space="preserve">Payback (months)</t>
  </si>
  <si>
    <t xml:space="preserve">4-yr cumulative profit (PKR)</t>
  </si>
  <si>
    <t xml:space="preserve">4-yr return on outlay</t>
  </si>
  <si>
    <t xml:space="preserve">From FeeSchedule, active scenario</t>
  </si>
  <si>
    <t xml:space="preserve">Fee × (1 - inventory credit): the cash that actually leaves the dealer</t>
  </si>
  <si>
    <t xml:space="preserve">Net outlay ÷ term: the licence spread across the years it covers</t>
  </si>
  <si>
    <t xml:space="preserve">From Quotas, steady state</t>
  </si>
  <si>
    <t xml:space="preserve">Units × pump price. Before any costs.</t>
  </si>
  <si>
    <t xml:space="preserve">Top line × dealer margin</t>
  </si>
  <si>
    <t xml:space="preserve">Gross profit - fee per year. What the dealer keeps after the licence.</t>
  </si>
  <si>
    <t xml:space="preserve">Net outlay ÷ gross profit × 12: months until the outlay is recovered</t>
  </si>
  <si>
    <t xml:space="preserve">Gross profit × term - net outlay</t>
  </si>
  <si>
    <t xml:space="preserve">Cumulative profit ÷ net outlay</t>
  </si>
  <si>
    <t xml:space="preserve">READING THE PAYBACK COLUMN</t>
  </si>
  <si>
    <t xml:space="preserve">Under ~12 months the fee is closer to a deposit than a licence. 18-30 months is normal for exclusive distribution rights. Above ~48 months that territory will not sell at this anchor.</t>
  </si>
  <si>
    <t xml:space="preserve">The payback column on the total row is the median across all 29 territories. Check the spread on the Assumptions sheet diagnostic.</t>
  </si>
  <si>
    <t xml:space="preserve">DEALER STRUCTURE — TEN CITY DEALERSHIPS</t>
  </si>
  <si>
    <t xml:space="preserve">The 22 regions grouped into ten contiguous dealerships. Hyper markets are counted inside their parent club here, and listed again below as optional carve-outs: if one is sold separately, its row leaves the club above.</t>
  </si>
  <si>
    <t xml:space="preserve">Code</t>
  </si>
  <si>
    <t xml:space="preserve">Territories</t>
  </si>
  <si>
    <t xml:space="preserve">Pump points</t>
  </si>
  <si>
    <t xml:space="preserve">Rs Cr</t>
  </si>
  <si>
    <t xml:space="preserve">Quota / qtr</t>
  </si>
  <si>
    <t xml:space="preserve">Top line / yr (PKR)</t>
  </si>
  <si>
    <t xml:space="preserve">Bottom line / yr (PKR)</t>
  </si>
  <si>
    <t xml:space="preserve">How many territories in the club</t>
  </si>
  <si>
    <t xml:space="preserve">Sum of SPP 2026</t>
  </si>
  <si>
    <t xml:space="preserve">Sum of units</t>
  </si>
  <si>
    <t xml:space="preserve">Sum of active fees</t>
  </si>
  <si>
    <t xml:space="preserve">Sum of steady-state quotas</t>
  </si>
  <si>
    <t xml:space="preserve">Sum of sales</t>
  </si>
  <si>
    <t xml:space="preserve">Sum of profit after fee</t>
  </si>
  <si>
    <t xml:space="preserve">South &amp; Coastal</t>
  </si>
  <si>
    <t xml:space="preserve">East &amp; Korangi</t>
  </si>
  <si>
    <t xml:space="preserve">Central, West &amp; Keamari</t>
  </si>
  <si>
    <t xml:space="preserve">Malir &amp; Outer</t>
  </si>
  <si>
    <t xml:space="preserve">South Lahore</t>
  </si>
  <si>
    <t xml:space="preserve">Central Lahore</t>
  </si>
  <si>
    <t xml:space="preserve">West Lahore</t>
  </si>
  <si>
    <t xml:space="preserve">TOTAL — 10 dealerships</t>
  </si>
  <si>
    <t xml:space="preserve">OPTIONAL HYPER-MARKET CARVE-OUTS</t>
  </si>
  <si>
    <t xml:space="preserve">Parent club</t>
  </si>
  <si>
    <t xml:space="preserve">Built houses</t>
  </si>
</sst>
</file>

<file path=xl/styles.xml><?xml version="1.0" encoding="utf-8"?>
<styleSheet xmlns="http://schemas.openxmlformats.org/spreadsheetml/2006/main">
  <numFmts count="6">
    <numFmt numFmtId="164" formatCode="General"/>
    <numFmt numFmtId="165" formatCode="#,##0.00"/>
    <numFmt numFmtId="166" formatCode="0.00%"/>
    <numFmt numFmtId="167" formatCode="#,##0"/>
    <numFmt numFmtId="168" formatCode="0.0%"/>
    <numFmt numFmtId="169" formatCode="0.0\x"/>
  </numFmts>
  <fonts count="16">
    <font>
      <sz val="11"/>
      <color theme="1"/>
      <name val="Calibri"/>
      <family val="2"/>
      <charset val="1"/>
    </font>
    <font>
      <sz val="10"/>
      <name val="Arial"/>
      <family val="0"/>
    </font>
    <font>
      <sz val="10"/>
      <name val="Arial"/>
      <family val="0"/>
    </font>
    <font>
      <sz val="10"/>
      <name val="Arial"/>
      <family val="0"/>
    </font>
    <font>
      <b val="true"/>
      <sz val="14"/>
      <color rgb="FF1F3A5F"/>
      <name val="Arial"/>
      <family val="0"/>
      <charset val="1"/>
    </font>
    <font>
      <i val="true"/>
      <sz val="9"/>
      <color rgb="FF555555"/>
      <name val="Arial"/>
      <family val="0"/>
      <charset val="1"/>
    </font>
    <font>
      <b val="true"/>
      <sz val="10"/>
      <name val="Arial"/>
      <family val="0"/>
      <charset val="1"/>
    </font>
    <font>
      <sz val="10"/>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0"/>
      <color rgb="FFFFFFFF"/>
      <name val="Arial"/>
      <family val="0"/>
      <charset val="1"/>
    </font>
    <font>
      <sz val="10"/>
      <color rgb="FF0000FF"/>
      <name val="Arial"/>
      <family val="0"/>
      <charset val="1"/>
    </font>
    <font>
      <i val="true"/>
      <sz val="8"/>
      <color rgb="FF7A6A2A"/>
      <name val="Arial"/>
      <family val="0"/>
      <charset val="1"/>
    </font>
    <font>
      <sz val="10"/>
      <color rgb="FF008000"/>
      <name val="Arial"/>
      <family val="0"/>
      <charset val="1"/>
    </font>
    <font>
      <b val="true"/>
      <sz val="11"/>
      <color rgb="FF8A6D1F"/>
      <name val="Arial"/>
      <family val="0"/>
      <charset val="1"/>
    </font>
  </fonts>
  <fills count="7">
    <fill>
      <patternFill patternType="none"/>
    </fill>
    <fill>
      <patternFill patternType="gray125"/>
    </fill>
    <fill>
      <patternFill patternType="solid">
        <fgColor rgb="FF1F3A5F"/>
        <bgColor rgb="FF333399"/>
      </patternFill>
    </fill>
    <fill>
      <patternFill patternType="solid">
        <fgColor rgb="FFFFFF99"/>
        <bgColor rgb="FFFBF7E6"/>
      </patternFill>
    </fill>
    <fill>
      <patternFill patternType="solid">
        <fgColor rgb="FFDCE3EC"/>
        <bgColor rgb="FFD9D9D9"/>
      </patternFill>
    </fill>
    <fill>
      <patternFill patternType="solid">
        <fgColor rgb="FFFBF7E6"/>
        <bgColor rgb="FFF9F9F9"/>
      </patternFill>
    </fill>
    <fill>
      <patternFill patternType="solid">
        <fgColor rgb="FF8A6D1F"/>
        <bgColor rgb="FF7A6A2A"/>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5" fontId="12" fillId="3" borderId="1" xfId="0" applyFont="true" applyBorder="true" applyAlignment="false" applyProtection="false">
      <alignment horizontal="general" vertical="bottom" textRotation="0" wrapText="false" indent="0" shrinkToFit="false"/>
      <protection locked="true" hidden="false"/>
    </xf>
    <xf numFmtId="164" fontId="12" fillId="3" borderId="1" xfId="0" applyFont="true" applyBorder="true" applyAlignment="false" applyProtection="false">
      <alignment horizontal="general" vertical="bottom" textRotation="0" wrapText="false" indent="0" shrinkToFit="false"/>
      <protection locked="true" hidden="false"/>
    </xf>
    <xf numFmtId="166" fontId="12" fillId="3" borderId="1" xfId="0" applyFont="true" applyBorder="true" applyAlignment="false" applyProtection="false">
      <alignment horizontal="general" vertical="bottom" textRotation="0" wrapText="false" indent="0" shrinkToFit="false"/>
      <protection locked="true" hidden="false"/>
    </xf>
    <xf numFmtId="167" fontId="12" fillId="3" borderId="1" xfId="0" applyFont="true" applyBorder="tru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7" fontId="6" fillId="4" borderId="1" xfId="0" applyFont="true" applyBorder="true" applyAlignment="false" applyProtection="false">
      <alignment horizontal="general" vertical="bottom" textRotation="0" wrapText="false" indent="0" shrinkToFit="false"/>
      <protection locked="true" hidden="false"/>
    </xf>
    <xf numFmtId="165" fontId="6" fillId="4" borderId="1" xfId="0" applyFont="true" applyBorder="true" applyAlignment="false" applyProtection="false">
      <alignment horizontal="general" vertical="bottom" textRotation="0" wrapText="false" indent="0" shrinkToFit="false"/>
      <protection locked="true" hidden="false"/>
    </xf>
    <xf numFmtId="169" fontId="6" fillId="4" borderId="1" xfId="0" applyFont="true" applyBorder="true" applyAlignment="fals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3" fillId="5"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7" fontId="12" fillId="0"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8" fontId="12"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7" fontId="14" fillId="0" borderId="1" xfId="0" applyFont="true" applyBorder="true" applyAlignment="false" applyProtection="false">
      <alignment horizontal="general" vertical="bottom" textRotation="0" wrapText="false" indent="0" shrinkToFit="false"/>
      <protection locked="true" hidden="false"/>
    </xf>
    <xf numFmtId="164" fontId="11" fillId="2"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66" fontId="6" fillId="4" borderId="1"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1" fillId="6" borderId="1" xfId="0" applyFont="true" applyBorder="true" applyAlignment="false" applyProtection="false">
      <alignment horizontal="general" vertical="bottom" textRotation="0" wrapText="false" indent="0" shrinkToFit="false"/>
      <protection locked="true" hidden="false"/>
    </xf>
    <xf numFmtId="165" fontId="14"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A6D1F"/>
      <rgbColor rgb="FF800080"/>
      <rgbColor rgb="FF008080"/>
      <rgbColor rgb="FFBBBBBB"/>
      <rgbColor rgb="FF878787"/>
      <rgbColor rgb="FF9999FF"/>
      <rgbColor rgb="FF903836"/>
      <rgbColor rgb="FFFBF7E6"/>
      <rgbColor rgb="FFDCE3EC"/>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9F9F9"/>
      <rgbColor rgb="FFCCFFCC"/>
      <rgbColor rgb="FFFFFF99"/>
      <rgbColor rgb="FF99CCFF"/>
      <rgbColor rgb="FFFF99CC"/>
      <rgbColor rgb="FFCC99FF"/>
      <rgbColor rgb="FFDCB7B6"/>
      <rgbColor rgb="FF3366FF"/>
      <rgbColor rgb="FF33CCCC"/>
      <rgbColor rgb="FF99CC00"/>
      <rgbColor rgb="FFFFCC00"/>
      <rgbColor rgb="FFFF9900"/>
      <rgbColor rgb="FFC0504D"/>
      <rgbColor rgb="FF4F81BD"/>
      <rgbColor rgb="FFCC8F8E"/>
      <rgbColor rgb="FF1F3A5F"/>
      <rgbColor rgb="FF7A6A2A"/>
      <rgbColor rgb="FF003300"/>
      <rgbColor rgb="FF333300"/>
      <rgbColor rgb="FFBE4B48"/>
      <rgbColor rgb="FFAA433F"/>
      <rgbColor rgb="FF333399"/>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Entry fee by territory — chosen (Islamabad Rs 1 Cr) vs alternative (Rs Cr)</a:t>
            </a:r>
          </a:p>
        </c:rich>
      </c:tx>
      <c:overlay val="0"/>
      <c:spPr>
        <a:noFill/>
        <a:ln w="0">
          <a:noFill/>
        </a:ln>
      </c:spPr>
    </c:title>
    <c:autoTitleDeleted val="0"/>
    <c:plotArea>
      <c:barChart>
        <c:barDir val="bar"/>
        <c:grouping val="clustered"/>
        <c:varyColors val="0"/>
        <c:ser>
          <c:idx val="0"/>
          <c:order val="0"/>
          <c:tx>
            <c:strRef>
              <c:f>"Chosen — Islamabad Rs 1 Cr"</c:f>
              <c:strCache>
                <c:ptCount val="1"/>
                <c:pt idx="0">
                  <c:v>Chosen — Islamabad Rs 1 Cr</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FeeSchedule!$B$6:$B$34</c:f>
              <c:strCache>
                <c:ptCount val="29"/>
                <c:pt idx="0">
                  <c:v>Karachi East</c:v>
                </c:pt>
                <c:pt idx="1">
                  <c:v>Karachi Central</c:v>
                </c:pt>
                <c:pt idx="2">
                  <c:v>Korangi</c:v>
                </c:pt>
                <c:pt idx="3">
                  <c:v>Karachi West</c:v>
                </c:pt>
                <c:pt idx="4">
                  <c:v>Malir</c:v>
                </c:pt>
                <c:pt idx="5">
                  <c:v>Karachi South</c:v>
                </c:pt>
                <c:pt idx="6">
                  <c:v>Keamari</c:v>
                </c:pt>
                <c:pt idx="7">
                  <c:v>Lahore City</c:v>
                </c:pt>
                <c:pt idx="8">
                  <c:v>Model Town</c:v>
                </c:pt>
                <c:pt idx="9">
                  <c:v>Shalimar</c:v>
                </c:pt>
                <c:pt idx="10">
                  <c:v>Lahore Cantt</c:v>
                </c:pt>
                <c:pt idx="11">
                  <c:v>Raiwind</c:v>
                </c:pt>
                <c:pt idx="12">
                  <c:v>Multan City</c:v>
                </c:pt>
                <c:pt idx="13">
                  <c:v>Multan Saddar</c:v>
                </c:pt>
                <c:pt idx="14">
                  <c:v>Shujabad</c:v>
                </c:pt>
                <c:pt idx="15">
                  <c:v>Jalalpur Pirwala</c:v>
                </c:pt>
                <c:pt idx="16">
                  <c:v>Peshawar City</c:v>
                </c:pt>
                <c:pt idx="17">
                  <c:v>East Ring</c:v>
                </c:pt>
                <c:pt idx="18">
                  <c:v>North-West Ring</c:v>
                </c:pt>
                <c:pt idx="19">
                  <c:v>South Belt</c:v>
                </c:pt>
                <c:pt idx="20">
                  <c:v>ICT Rural belt</c:v>
                </c:pt>
                <c:pt idx="21">
                  <c:v>ICT Urban</c:v>
                </c:pt>
                <c:pt idx="22">
                  <c:v>DHA Phase VIII + Sahil</c:v>
                </c:pt>
                <c:pt idx="23">
                  <c:v>Bahria Town Karachi</c:v>
                </c:pt>
                <c:pt idx="24">
                  <c:v>DHA Lahore VII-IX + EME</c:v>
                </c:pt>
                <c:pt idx="25">
                  <c:v>Bahria Town Lahore + Lake City</c:v>
                </c:pt>
                <c:pt idx="26">
                  <c:v>DHA Islamabad + Bahria Enclave</c:v>
                </c:pt>
                <c:pt idx="27">
                  <c:v>Hayatabad Ph 6-7 + DHA Peshawar</c:v>
                </c:pt>
                <c:pt idx="28">
                  <c:v>DHA Multan</c:v>
                </c:pt>
              </c:strCache>
            </c:strRef>
          </c:cat>
          <c:val>
            <c:numRef>
              <c:f>FeeSchedule!$I$6:$I$34</c:f>
              <c:numCache>
                <c:formatCode>#,##0.00</c:formatCode>
                <c:ptCount val="29"/>
                <c:pt idx="0">
                  <c:v>0.572494441922657</c:v>
                </c:pt>
                <c:pt idx="1">
                  <c:v>0.448435346391583</c:v>
                </c:pt>
                <c:pt idx="2">
                  <c:v>0.431410717319446</c:v>
                </c:pt>
                <c:pt idx="3">
                  <c:v>0.503162822241083</c:v>
                </c:pt>
                <c:pt idx="4">
                  <c:v>0.827156377319632</c:v>
                </c:pt>
                <c:pt idx="5">
                  <c:v>1.01635355662415</c:v>
                </c:pt>
                <c:pt idx="6">
                  <c:v>0.284477802620342</c:v>
                </c:pt>
                <c:pt idx="7">
                  <c:v>0.554114218354323</c:v>
                </c:pt>
                <c:pt idx="8">
                  <c:v>0.778652794851601</c:v>
                </c:pt>
                <c:pt idx="9">
                  <c:v>0.417175115270829</c:v>
                </c:pt>
                <c:pt idx="10">
                  <c:v>0.949715415011891</c:v>
                </c:pt>
                <c:pt idx="11">
                  <c:v>0.31512127455114</c:v>
                </c:pt>
                <c:pt idx="12">
                  <c:v>0.593242256397978</c:v>
                </c:pt>
                <c:pt idx="13">
                  <c:v>0.336178188060171</c:v>
                </c:pt>
                <c:pt idx="14">
                  <c:v>0.151312744833016</c:v>
                </c:pt>
                <c:pt idx="15">
                  <c:v>0.143717727318148</c:v>
                </c:pt>
                <c:pt idx="16">
                  <c:v>0.250124958113517</c:v>
                </c:pt>
                <c:pt idx="17">
                  <c:v>0.252285535129342</c:v>
                </c:pt>
                <c:pt idx="18">
                  <c:v>0.186353283237163</c:v>
                </c:pt>
                <c:pt idx="19">
                  <c:v>0.104872462410317</c:v>
                </c:pt>
                <c:pt idx="20">
                  <c:v>0.453073226184577</c:v>
                </c:pt>
                <c:pt idx="21">
                  <c:v>0.369099802611242</c:v>
                </c:pt>
                <c:pt idx="22">
                  <c:v>0.128527236737505</c:v>
                </c:pt>
                <c:pt idx="23">
                  <c:v>0.103678163392076</c:v>
                </c:pt>
                <c:pt idx="24">
                  <c:v>0.15071910273756</c:v>
                </c:pt>
                <c:pt idx="25">
                  <c:v>0.0760300254618895</c:v>
                </c:pt>
                <c:pt idx="26">
                  <c:v>0.0869178802950897</c:v>
                </c:pt>
                <c:pt idx="27">
                  <c:v>0.0540693574249758</c:v>
                </c:pt>
                <c:pt idx="28">
                  <c:v>0.0439213360738272</c:v>
                </c:pt>
              </c:numCache>
            </c:numRef>
          </c:val>
        </c:ser>
        <c:ser>
          <c:idx val="1"/>
          <c:order val="1"/>
          <c:tx>
            <c:strRef>
              <c:f>"Alt — DHA Rs 1.5 Cr"</c:f>
              <c:strCache>
                <c:ptCount val="1"/>
                <c:pt idx="0">
                  <c:v>Alt — DHA Rs 1.5 Cr</c:v>
                </c:pt>
              </c:strCache>
            </c:strRef>
          </c:tx>
          <c:spPr>
            <a:solidFill>
              <a:srgbClr val="c0504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FeeSchedule!$B$6:$B$34</c:f>
              <c:strCache>
                <c:ptCount val="29"/>
                <c:pt idx="0">
                  <c:v>Karachi East</c:v>
                </c:pt>
                <c:pt idx="1">
                  <c:v>Karachi Central</c:v>
                </c:pt>
                <c:pt idx="2">
                  <c:v>Korangi</c:v>
                </c:pt>
                <c:pt idx="3">
                  <c:v>Karachi West</c:v>
                </c:pt>
                <c:pt idx="4">
                  <c:v>Malir</c:v>
                </c:pt>
                <c:pt idx="5">
                  <c:v>Karachi South</c:v>
                </c:pt>
                <c:pt idx="6">
                  <c:v>Keamari</c:v>
                </c:pt>
                <c:pt idx="7">
                  <c:v>Lahore City</c:v>
                </c:pt>
                <c:pt idx="8">
                  <c:v>Model Town</c:v>
                </c:pt>
                <c:pt idx="9">
                  <c:v>Shalimar</c:v>
                </c:pt>
                <c:pt idx="10">
                  <c:v>Lahore Cantt</c:v>
                </c:pt>
                <c:pt idx="11">
                  <c:v>Raiwind</c:v>
                </c:pt>
                <c:pt idx="12">
                  <c:v>Multan City</c:v>
                </c:pt>
                <c:pt idx="13">
                  <c:v>Multan Saddar</c:v>
                </c:pt>
                <c:pt idx="14">
                  <c:v>Shujabad</c:v>
                </c:pt>
                <c:pt idx="15">
                  <c:v>Jalalpur Pirwala</c:v>
                </c:pt>
                <c:pt idx="16">
                  <c:v>Peshawar City</c:v>
                </c:pt>
                <c:pt idx="17">
                  <c:v>East Ring</c:v>
                </c:pt>
                <c:pt idx="18">
                  <c:v>North-West Ring</c:v>
                </c:pt>
                <c:pt idx="19">
                  <c:v>South Belt</c:v>
                </c:pt>
                <c:pt idx="20">
                  <c:v>ICT Rural belt</c:v>
                </c:pt>
                <c:pt idx="21">
                  <c:v>ICT Urban</c:v>
                </c:pt>
                <c:pt idx="22">
                  <c:v>DHA Phase VIII + Sahil</c:v>
                </c:pt>
                <c:pt idx="23">
                  <c:v>Bahria Town Karachi</c:v>
                </c:pt>
                <c:pt idx="24">
                  <c:v>DHA Lahore VII-IX + EME</c:v>
                </c:pt>
                <c:pt idx="25">
                  <c:v>Bahria Town Lahore + Lake City</c:v>
                </c:pt>
                <c:pt idx="26">
                  <c:v>DHA Islamabad + Bahria Enclave</c:v>
                </c:pt>
                <c:pt idx="27">
                  <c:v>Hayatabad Ph 6-7 + DHA Peshawar</c:v>
                </c:pt>
                <c:pt idx="28">
                  <c:v>DHA Multan</c:v>
                </c:pt>
              </c:strCache>
            </c:strRef>
          </c:cat>
          <c:val>
            <c:numRef>
              <c:f>FeeSchedule!$K$6:$K$34</c:f>
              <c:numCache>
                <c:formatCode>#,##0.00</c:formatCode>
                <c:ptCount val="29"/>
                <c:pt idx="0">
                  <c:v>6.68139831433407</c:v>
                </c:pt>
                <c:pt idx="1">
                  <c:v>5.23354455181474</c:v>
                </c:pt>
                <c:pt idx="2">
                  <c:v>5.03485558707523</c:v>
                </c:pt>
                <c:pt idx="3">
                  <c:v>5.87225130267959</c:v>
                </c:pt>
                <c:pt idx="4">
                  <c:v>9.65347577271449</c:v>
                </c:pt>
                <c:pt idx="5">
                  <c:v>11.8615351394337</c:v>
                </c:pt>
                <c:pt idx="6">
                  <c:v>3.32004884538215</c:v>
                </c:pt>
                <c:pt idx="7">
                  <c:v>6.46688864266963</c:v>
                </c:pt>
                <c:pt idx="8">
                  <c:v>9.08740607769229</c:v>
                </c:pt>
                <c:pt idx="9">
                  <c:v>4.86871645878651</c:v>
                </c:pt>
                <c:pt idx="10">
                  <c:v>11.0838228431479</c:v>
                </c:pt>
                <c:pt idx="11">
                  <c:v>3.67767894047299</c:v>
                </c:pt>
                <c:pt idx="12">
                  <c:v>6.92353937721667</c:v>
                </c:pt>
                <c:pt idx="13">
                  <c:v>3.92342739866208</c:v>
                </c:pt>
                <c:pt idx="14">
                  <c:v>1.76592232907854</c:v>
                </c:pt>
                <c:pt idx="15">
                  <c:v>1.67728332491501</c:v>
                </c:pt>
                <c:pt idx="16">
                  <c:v>2.91912785720687</c:v>
                </c:pt>
                <c:pt idx="17">
                  <c:v>2.94434325595038</c:v>
                </c:pt>
                <c:pt idx="18">
                  <c:v>2.17486917132309</c:v>
                </c:pt>
                <c:pt idx="19">
                  <c:v>1.22393274459601</c:v>
                </c:pt>
                <c:pt idx="20">
                  <c:v>5.28767175369102</c:v>
                </c:pt>
                <c:pt idx="21">
                  <c:v>4.30764496281513</c:v>
                </c:pt>
                <c:pt idx="22">
                  <c:v>1.5</c:v>
                </c:pt>
                <c:pt idx="23">
                  <c:v>1.20999446526444</c:v>
                </c:pt>
                <c:pt idx="24">
                  <c:v>1.75899412330841</c:v>
                </c:pt>
                <c:pt idx="25">
                  <c:v>0.887321948932516</c:v>
                </c:pt>
                <c:pt idx="26">
                  <c:v>1.01439059729345</c:v>
                </c:pt>
                <c:pt idx="27">
                  <c:v>0.631026062616632</c:v>
                </c:pt>
                <c:pt idx="28">
                  <c:v>0.512591772631768</c:v>
                </c:pt>
              </c:numCache>
            </c:numRef>
          </c:val>
        </c:ser>
        <c:gapWidth val="150"/>
        <c:overlap val="0"/>
        <c:axId val="17997840"/>
        <c:axId val="32283087"/>
      </c:barChart>
      <c:catAx>
        <c:axId val="1799784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2283087"/>
        <c:crosses val="autoZero"/>
        <c:auto val="1"/>
        <c:lblAlgn val="ctr"/>
        <c:lblOffset val="100"/>
        <c:noMultiLvlLbl val="0"/>
      </c:catAx>
      <c:valAx>
        <c:axId val="32283087"/>
        <c:scaling>
          <c:orientation val="minMax"/>
        </c:scaling>
        <c:delete val="0"/>
        <c:axPos val="l"/>
        <c:majorGridlines>
          <c:spPr>
            <a:ln w="9360">
              <a:solidFill>
                <a:srgbClr val="878787"/>
              </a:solidFill>
              <a:round/>
            </a:ln>
          </c:spPr>
        </c:majorGridlines>
        <c:title>
          <c:tx>
            <c:rich>
              <a:bodyPr rot="0"/>
              <a:lstStyle/>
              <a:p>
                <a:pPr>
                  <a:defRPr b="1" sz="1000" spc="-1" strike="noStrike">
                    <a:solidFill>
                      <a:srgbClr val="000000"/>
                    </a:solidFill>
                    <a:latin typeface="Calibri"/>
                  </a:defRPr>
                </a:pPr>
                <a:r>
                  <a:rPr b="1" sz="1000" spc="-1" strike="noStrike">
                    <a:solidFill>
                      <a:srgbClr val="000000"/>
                    </a:solidFill>
                    <a:latin typeface="Calibri"/>
                  </a:rPr>
                  <a:t>Rs Crore</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7997840"/>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TOP LINE — annual sales by territory (PKR)</a:t>
            </a:r>
          </a:p>
        </c:rich>
      </c:tx>
      <c:overlay val="0"/>
      <c:spPr>
        <a:noFill/>
        <a:ln w="0">
          <a:noFill/>
        </a:ln>
      </c:spPr>
    </c:title>
    <c:autoTitleDeleted val="0"/>
    <c:plotArea>
      <c:barChart>
        <c:barDir val="col"/>
        <c:grouping val="clustered"/>
        <c:varyColors val="0"/>
        <c:ser>
          <c:idx val="0"/>
          <c:order val="0"/>
          <c:tx>
            <c:strRef>
              <c:f>"Sales"</c:f>
              <c:strCache>
                <c:ptCount val="1"/>
                <c:pt idx="0">
                  <c:v>Sales</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Economics!$B$6:$B$34</c:f>
              <c:strCache>
                <c:ptCount val="29"/>
                <c:pt idx="0">
                  <c:v>Karachi East</c:v>
                </c:pt>
                <c:pt idx="1">
                  <c:v>Karachi Central</c:v>
                </c:pt>
                <c:pt idx="2">
                  <c:v>Korangi</c:v>
                </c:pt>
                <c:pt idx="3">
                  <c:v>Karachi West</c:v>
                </c:pt>
                <c:pt idx="4">
                  <c:v>Malir</c:v>
                </c:pt>
                <c:pt idx="5">
                  <c:v>Karachi South</c:v>
                </c:pt>
                <c:pt idx="6">
                  <c:v>Keamari</c:v>
                </c:pt>
                <c:pt idx="7">
                  <c:v>Lahore City</c:v>
                </c:pt>
                <c:pt idx="8">
                  <c:v>Model Town</c:v>
                </c:pt>
                <c:pt idx="9">
                  <c:v>Shalimar</c:v>
                </c:pt>
                <c:pt idx="10">
                  <c:v>Lahore Cantt</c:v>
                </c:pt>
                <c:pt idx="11">
                  <c:v>Raiwind</c:v>
                </c:pt>
                <c:pt idx="12">
                  <c:v>Multan City</c:v>
                </c:pt>
                <c:pt idx="13">
                  <c:v>Multan Saddar</c:v>
                </c:pt>
                <c:pt idx="14">
                  <c:v>Shujabad</c:v>
                </c:pt>
                <c:pt idx="15">
                  <c:v>Jalalpur Pirwala</c:v>
                </c:pt>
                <c:pt idx="16">
                  <c:v>Peshawar City</c:v>
                </c:pt>
                <c:pt idx="17">
                  <c:v>East Ring</c:v>
                </c:pt>
                <c:pt idx="18">
                  <c:v>North-West Ring</c:v>
                </c:pt>
                <c:pt idx="19">
                  <c:v>South Belt</c:v>
                </c:pt>
                <c:pt idx="20">
                  <c:v>ICT Rural belt</c:v>
                </c:pt>
                <c:pt idx="21">
                  <c:v>ICT Urban</c:v>
                </c:pt>
                <c:pt idx="22">
                  <c:v>DHA Phase VIII + Sahil</c:v>
                </c:pt>
                <c:pt idx="23">
                  <c:v>Bahria Town Karachi</c:v>
                </c:pt>
                <c:pt idx="24">
                  <c:v>DHA Lahore VII-IX + EME</c:v>
                </c:pt>
                <c:pt idx="25">
                  <c:v>Bahria Town Lahore + Lake City</c:v>
                </c:pt>
                <c:pt idx="26">
                  <c:v>DHA Islamabad + Bahria Enclave</c:v>
                </c:pt>
                <c:pt idx="27">
                  <c:v>Hayatabad Ph 6-7 + DHA Peshawar</c:v>
                </c:pt>
                <c:pt idx="28">
                  <c:v>DHA Multan</c:v>
                </c:pt>
              </c:strCache>
            </c:strRef>
          </c:cat>
          <c:val>
            <c:numRef>
              <c:f>Economics!$I$6:$I$34</c:f>
              <c:numCache>
                <c:formatCode>#,##0</c:formatCode>
                <c:ptCount val="29"/>
                <c:pt idx="0">
                  <c:v>73097354.5001593</c:v>
                </c:pt>
                <c:pt idx="1">
                  <c:v>18398506.2285879</c:v>
                </c:pt>
                <c:pt idx="2">
                  <c:v>18019998.5928721</c:v>
                </c:pt>
                <c:pt idx="3">
                  <c:v>20084839.7051683</c:v>
                </c:pt>
                <c:pt idx="4">
                  <c:v>95025546.0486809</c:v>
                </c:pt>
                <c:pt idx="5">
                  <c:v>185944396.560408</c:v>
                </c:pt>
                <c:pt idx="6">
                  <c:v>12629317.4525248</c:v>
                </c:pt>
                <c:pt idx="7">
                  <c:v>26527592.9796516</c:v>
                </c:pt>
                <c:pt idx="8">
                  <c:v>103447046.849054</c:v>
                </c:pt>
                <c:pt idx="9">
                  <c:v>18344385.0300476</c:v>
                </c:pt>
                <c:pt idx="10">
                  <c:v>192349847.080207</c:v>
                </c:pt>
                <c:pt idx="11">
                  <c:v>38536691.0691009</c:v>
                </c:pt>
                <c:pt idx="12">
                  <c:v>88289731.7136569</c:v>
                </c:pt>
                <c:pt idx="13">
                  <c:v>12460718.2942037</c:v>
                </c:pt>
                <c:pt idx="14">
                  <c:v>5696551.48450768</c:v>
                </c:pt>
                <c:pt idx="15">
                  <c:v>5149537.77476099</c:v>
                </c:pt>
                <c:pt idx="16">
                  <c:v>52720145.0502545</c:v>
                </c:pt>
                <c:pt idx="17">
                  <c:v>9716121.37623839</c:v>
                </c:pt>
                <c:pt idx="18">
                  <c:v>7379259.97203838</c:v>
                </c:pt>
                <c:pt idx="19">
                  <c:v>3658868.61254966</c:v>
                </c:pt>
                <c:pt idx="20">
                  <c:v>54637016.3101416</c:v>
                </c:pt>
                <c:pt idx="21">
                  <c:v>84573503.5763294</c:v>
                </c:pt>
                <c:pt idx="22">
                  <c:v>13096059.69147</c:v>
                </c:pt>
                <c:pt idx="23">
                  <c:v>9822044.7686025</c:v>
                </c:pt>
                <c:pt idx="24">
                  <c:v>15278736.306715</c:v>
                </c:pt>
                <c:pt idx="25">
                  <c:v>7639368.1533575</c:v>
                </c:pt>
                <c:pt idx="26">
                  <c:v>8730706.46098</c:v>
                </c:pt>
                <c:pt idx="27">
                  <c:v>5456691.5381125</c:v>
                </c:pt>
                <c:pt idx="28">
                  <c:v>4365353.23049</c:v>
                </c:pt>
              </c:numCache>
            </c:numRef>
          </c:val>
        </c:ser>
        <c:gapWidth val="150"/>
        <c:overlap val="0"/>
        <c:axId val="79173262"/>
        <c:axId val="85074867"/>
      </c:barChart>
      <c:catAx>
        <c:axId val="7917326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5074867"/>
        <c:crosses val="autoZero"/>
        <c:auto val="1"/>
        <c:lblAlgn val="ctr"/>
        <c:lblOffset val="100"/>
        <c:noMultiLvlLbl val="0"/>
      </c:catAx>
      <c:valAx>
        <c:axId val="85074867"/>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PKR</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917326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BOTTOM LINE — annual profit after fee by territory (PKR)</a:t>
            </a:r>
          </a:p>
        </c:rich>
      </c:tx>
      <c:overlay val="0"/>
      <c:spPr>
        <a:noFill/>
        <a:ln w="0">
          <a:noFill/>
        </a:ln>
      </c:spPr>
    </c:title>
    <c:autoTitleDeleted val="0"/>
    <c:plotArea>
      <c:barChart>
        <c:barDir val="col"/>
        <c:grouping val="clustered"/>
        <c:varyColors val="0"/>
        <c:ser>
          <c:idx val="0"/>
          <c:order val="0"/>
          <c:tx>
            <c:strRef>
              <c:f>"Profit"</c:f>
              <c:strCache>
                <c:ptCount val="1"/>
                <c:pt idx="0">
                  <c:v>Profit</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Economics!$B$6:$B$34</c:f>
              <c:strCache>
                <c:ptCount val="29"/>
                <c:pt idx="0">
                  <c:v>Karachi East</c:v>
                </c:pt>
                <c:pt idx="1">
                  <c:v>Karachi Central</c:v>
                </c:pt>
                <c:pt idx="2">
                  <c:v>Korangi</c:v>
                </c:pt>
                <c:pt idx="3">
                  <c:v>Karachi West</c:v>
                </c:pt>
                <c:pt idx="4">
                  <c:v>Malir</c:v>
                </c:pt>
                <c:pt idx="5">
                  <c:v>Karachi South</c:v>
                </c:pt>
                <c:pt idx="6">
                  <c:v>Keamari</c:v>
                </c:pt>
                <c:pt idx="7">
                  <c:v>Lahore City</c:v>
                </c:pt>
                <c:pt idx="8">
                  <c:v>Model Town</c:v>
                </c:pt>
                <c:pt idx="9">
                  <c:v>Shalimar</c:v>
                </c:pt>
                <c:pt idx="10">
                  <c:v>Lahore Cantt</c:v>
                </c:pt>
                <c:pt idx="11">
                  <c:v>Raiwind</c:v>
                </c:pt>
                <c:pt idx="12">
                  <c:v>Multan City</c:v>
                </c:pt>
                <c:pt idx="13">
                  <c:v>Multan Saddar</c:v>
                </c:pt>
                <c:pt idx="14">
                  <c:v>Shujabad</c:v>
                </c:pt>
                <c:pt idx="15">
                  <c:v>Jalalpur Pirwala</c:v>
                </c:pt>
                <c:pt idx="16">
                  <c:v>Peshawar City</c:v>
                </c:pt>
                <c:pt idx="17">
                  <c:v>East Ring</c:v>
                </c:pt>
                <c:pt idx="18">
                  <c:v>North-West Ring</c:v>
                </c:pt>
                <c:pt idx="19">
                  <c:v>South Belt</c:v>
                </c:pt>
                <c:pt idx="20">
                  <c:v>ICT Rural belt</c:v>
                </c:pt>
                <c:pt idx="21">
                  <c:v>ICT Urban</c:v>
                </c:pt>
                <c:pt idx="22">
                  <c:v>DHA Phase VIII + Sahil</c:v>
                </c:pt>
                <c:pt idx="23">
                  <c:v>Bahria Town Karachi</c:v>
                </c:pt>
                <c:pt idx="24">
                  <c:v>DHA Lahore VII-IX + EME</c:v>
                </c:pt>
                <c:pt idx="25">
                  <c:v>Bahria Town Lahore + Lake City</c:v>
                </c:pt>
                <c:pt idx="26">
                  <c:v>DHA Islamabad + Bahria Enclave</c:v>
                </c:pt>
                <c:pt idx="27">
                  <c:v>Hayatabad Ph 6-7 + DHA Peshawar</c:v>
                </c:pt>
                <c:pt idx="28">
                  <c:v>DHA Multan</c:v>
                </c:pt>
              </c:strCache>
            </c:strRef>
          </c:cat>
          <c:val>
            <c:numRef>
              <c:f>Economics!$K$6:$K$34</c:f>
              <c:numCache>
                <c:formatCode>#,##0</c:formatCode>
                <c:ptCount val="29"/>
                <c:pt idx="0">
                  <c:v>15365799.9376317</c:v>
                </c:pt>
                <c:pt idx="1">
                  <c:v>3487127.18729986</c:v>
                </c:pt>
                <c:pt idx="2">
                  <c:v>3425136.29378256</c:v>
                </c:pt>
                <c:pt idx="3">
                  <c:v>3789711.20733568</c:v>
                </c:pt>
                <c:pt idx="4">
                  <c:v>19871674.6590603</c:v>
                </c:pt>
                <c:pt idx="5">
                  <c:v>39637325.2975096</c:v>
                </c:pt>
                <c:pt idx="6">
                  <c:v>2422852.58628002</c:v>
                </c:pt>
                <c:pt idx="7">
                  <c:v>5143427.68258044</c:v>
                </c:pt>
                <c:pt idx="8">
                  <c:v>21785034.3132274</c:v>
                </c:pt>
                <c:pt idx="9">
                  <c:v>3514295.81252193</c:v>
                </c:pt>
                <c:pt idx="10">
                  <c:v>41129822.0888807</c:v>
                </c:pt>
                <c:pt idx="11">
                  <c:v>8084170.44201327</c:v>
                </c:pt>
                <c:pt idx="12">
                  <c:v>18682188.156507</c:v>
                </c:pt>
                <c:pt idx="13">
                  <c:v>2321135.28964959</c:v>
                </c:pt>
                <c:pt idx="14">
                  <c:v>1064100.39555042</c:v>
                </c:pt>
                <c:pt idx="15">
                  <c:v>953251.151299733</c:v>
                </c:pt>
                <c:pt idx="16">
                  <c:v>11285775.7134141</c:v>
                </c:pt>
                <c:pt idx="17">
                  <c:v>1822189.78386077</c:v>
                </c:pt>
                <c:pt idx="18">
                  <c:v>1390495.58980199</c:v>
                </c:pt>
                <c:pt idx="19">
                  <c:v>673860.51674803</c:v>
                </c:pt>
                <c:pt idx="20">
                  <c:v>11453802.0555004</c:v>
                </c:pt>
                <c:pt idx="21">
                  <c:v>18144796.0335284</c:v>
                </c:pt>
                <c:pt idx="22">
                  <c:v>2720474.08620152</c:v>
                </c:pt>
                <c:pt idx="23">
                  <c:v>2031252.14485246</c:v>
                </c:pt>
                <c:pt idx="24">
                  <c:v>3172923.10905535</c:v>
                </c:pt>
                <c:pt idx="25">
                  <c:v>1585623.46191129</c:v>
                </c:pt>
                <c:pt idx="26">
                  <c:v>1812108.07104674</c:v>
                </c:pt>
                <c:pt idx="27">
                  <c:v>1132885.44160353</c:v>
                </c:pt>
                <c:pt idx="28">
                  <c:v>905476.040615516</c:v>
                </c:pt>
              </c:numCache>
            </c:numRef>
          </c:val>
        </c:ser>
        <c:gapWidth val="150"/>
        <c:overlap val="0"/>
        <c:axId val="41051157"/>
        <c:axId val="15055740"/>
      </c:barChart>
      <c:catAx>
        <c:axId val="4105115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5055740"/>
        <c:crosses val="autoZero"/>
        <c:auto val="1"/>
        <c:lblAlgn val="ctr"/>
        <c:lblOffset val="100"/>
        <c:noMultiLvlLbl val="0"/>
      </c:catAx>
      <c:valAx>
        <c:axId val="15055740"/>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PKR</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1051157"/>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Payback in months by territory (active scenario)</a:t>
            </a:r>
          </a:p>
        </c:rich>
      </c:tx>
      <c:overlay val="0"/>
      <c:spPr>
        <a:noFill/>
        <a:ln w="0">
          <a:noFill/>
        </a:ln>
      </c:spPr>
    </c:title>
    <c:autoTitleDeleted val="0"/>
    <c:plotArea>
      <c:barChart>
        <c:barDir val="col"/>
        <c:grouping val="clustered"/>
        <c:varyColors val="0"/>
        <c:ser>
          <c:idx val="0"/>
          <c:order val="0"/>
          <c:tx>
            <c:strRef>
              <c:f>"Months"</c:f>
              <c:strCache>
                <c:ptCount val="1"/>
                <c:pt idx="0">
                  <c:v>Months</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Economics!$B$6:$B$34</c:f>
              <c:strCache>
                <c:ptCount val="29"/>
                <c:pt idx="0">
                  <c:v>Karachi East</c:v>
                </c:pt>
                <c:pt idx="1">
                  <c:v>Karachi Central</c:v>
                </c:pt>
                <c:pt idx="2">
                  <c:v>Korangi</c:v>
                </c:pt>
                <c:pt idx="3">
                  <c:v>Karachi West</c:v>
                </c:pt>
                <c:pt idx="4">
                  <c:v>Malir</c:v>
                </c:pt>
                <c:pt idx="5">
                  <c:v>Karachi South</c:v>
                </c:pt>
                <c:pt idx="6">
                  <c:v>Keamari</c:v>
                </c:pt>
                <c:pt idx="7">
                  <c:v>Lahore City</c:v>
                </c:pt>
                <c:pt idx="8">
                  <c:v>Model Town</c:v>
                </c:pt>
                <c:pt idx="9">
                  <c:v>Shalimar</c:v>
                </c:pt>
                <c:pt idx="10">
                  <c:v>Lahore Cantt</c:v>
                </c:pt>
                <c:pt idx="11">
                  <c:v>Raiwind</c:v>
                </c:pt>
                <c:pt idx="12">
                  <c:v>Multan City</c:v>
                </c:pt>
                <c:pt idx="13">
                  <c:v>Multan Saddar</c:v>
                </c:pt>
                <c:pt idx="14">
                  <c:v>Shujabad</c:v>
                </c:pt>
                <c:pt idx="15">
                  <c:v>Jalalpur Pirwala</c:v>
                </c:pt>
                <c:pt idx="16">
                  <c:v>Peshawar City</c:v>
                </c:pt>
                <c:pt idx="17">
                  <c:v>East Ring</c:v>
                </c:pt>
                <c:pt idx="18">
                  <c:v>North-West Ring</c:v>
                </c:pt>
                <c:pt idx="19">
                  <c:v>South Belt</c:v>
                </c:pt>
                <c:pt idx="20">
                  <c:v>ICT Rural belt</c:v>
                </c:pt>
                <c:pt idx="21">
                  <c:v>ICT Urban</c:v>
                </c:pt>
                <c:pt idx="22">
                  <c:v>DHA Phase VIII + Sahil</c:v>
                </c:pt>
                <c:pt idx="23">
                  <c:v>Bahria Town Karachi</c:v>
                </c:pt>
                <c:pt idx="24">
                  <c:v>DHA Lahore VII-IX + EME</c:v>
                </c:pt>
                <c:pt idx="25">
                  <c:v>Bahria Town Lahore + Lake City</c:v>
                </c:pt>
                <c:pt idx="26">
                  <c:v>DHA Islamabad + Bahria Enclave</c:v>
                </c:pt>
                <c:pt idx="27">
                  <c:v>Hayatabad Ph 6-7 + DHA Peshawar</c:v>
                </c:pt>
                <c:pt idx="28">
                  <c:v>DHA Multan</c:v>
                </c:pt>
              </c:strCache>
            </c:strRef>
          </c:cat>
          <c:val>
            <c:numRef>
              <c:f>Economics!$L$6:$L$34</c:f>
              <c:numCache>
                <c:formatCode>#,##0.00</c:formatCode>
                <c:ptCount val="29"/>
                <c:pt idx="0">
                  <c:v>2.13598493221458</c:v>
                </c:pt>
                <c:pt idx="1">
                  <c:v>6.64730861823193</c:v>
                </c:pt>
                <c:pt idx="2">
                  <c:v>6.52927178398275</c:v>
                </c:pt>
                <c:pt idx="3">
                  <c:v>6.83232857528141</c:v>
                </c:pt>
                <c:pt idx="4">
                  <c:v>2.37397323441622</c:v>
                </c:pt>
                <c:pt idx="5">
                  <c:v>1.49070011655188</c:v>
                </c:pt>
                <c:pt idx="6">
                  <c:v>6.14323422874948</c:v>
                </c:pt>
                <c:pt idx="7">
                  <c:v>5.69678747962922</c:v>
                </c:pt>
                <c:pt idx="8">
                  <c:v>2.0528363023375</c:v>
                </c:pt>
                <c:pt idx="9">
                  <c:v>6.20217201346016</c:v>
                </c:pt>
                <c:pt idx="10">
                  <c:v>1.34657395851861</c:v>
                </c:pt>
                <c:pt idx="11">
                  <c:v>2.2301386912688</c:v>
                </c:pt>
                <c:pt idx="12">
                  <c:v>1.83252728843628</c:v>
                </c:pt>
                <c:pt idx="13">
                  <c:v>7.35791936029046</c:v>
                </c:pt>
                <c:pt idx="14">
                  <c:v>7.24422702742461</c:v>
                </c:pt>
                <c:pt idx="15">
                  <c:v>7.61150719315961</c:v>
                </c:pt>
                <c:pt idx="16">
                  <c:v>1.29392469619151</c:v>
                </c:pt>
                <c:pt idx="17">
                  <c:v>7.08154450526265</c:v>
                </c:pt>
                <c:pt idx="18">
                  <c:v>6.8873603713145</c:v>
                </c:pt>
                <c:pt idx="19">
                  <c:v>7.81705594982499</c:v>
                </c:pt>
                <c:pt idx="20">
                  <c:v>2.26156978671126</c:v>
                </c:pt>
                <c:pt idx="21">
                  <c:v>1.19024964408017</c:v>
                </c:pt>
                <c:pt idx="22">
                  <c:v>2.67659766161755</c:v>
                </c:pt>
                <c:pt idx="23">
                  <c:v>2.87881631670841</c:v>
                </c:pt>
                <c:pt idx="24">
                  <c:v>2.69035403271216</c:v>
                </c:pt>
                <c:pt idx="25">
                  <c:v>2.71429011841679</c:v>
                </c:pt>
                <c:pt idx="26">
                  <c:v>2.71511550068247</c:v>
                </c:pt>
                <c:pt idx="27">
                  <c:v>2.70240461379104</c:v>
                </c:pt>
                <c:pt idx="28">
                  <c:v>2.74400387998116</c:v>
                </c:pt>
              </c:numCache>
            </c:numRef>
          </c:val>
        </c:ser>
        <c:gapWidth val="150"/>
        <c:overlap val="0"/>
        <c:axId val="63760250"/>
        <c:axId val="5309891"/>
      </c:barChart>
      <c:catAx>
        <c:axId val="63760250"/>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309891"/>
        <c:crosses val="autoZero"/>
        <c:auto val="1"/>
        <c:lblAlgn val="ctr"/>
        <c:lblOffset val="100"/>
        <c:noMultiLvlLbl val="0"/>
      </c:catAx>
      <c:valAx>
        <c:axId val="530989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Months</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3760250"/>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Quarterly quota by territory (steady state, pumps)</a:t>
            </a:r>
          </a:p>
        </c:rich>
      </c:tx>
      <c:overlay val="0"/>
      <c:spPr>
        <a:noFill/>
        <a:ln w="0">
          <a:noFill/>
        </a:ln>
      </c:spPr>
    </c:title>
    <c:autoTitleDeleted val="0"/>
    <c:plotArea>
      <c:barChart>
        <c:barDir val="col"/>
        <c:grouping val="clustered"/>
        <c:varyColors val="0"/>
        <c:ser>
          <c:idx val="0"/>
          <c:order val="0"/>
          <c:tx>
            <c:strRef>
              <c:f>"Pumps / qtr"</c:f>
              <c:strCache>
                <c:ptCount val="1"/>
                <c:pt idx="0">
                  <c:v>Pumps / qtr</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Quotas!$B$6:$B$34</c:f>
              <c:strCache>
                <c:ptCount val="29"/>
                <c:pt idx="0">
                  <c:v>Karachi East</c:v>
                </c:pt>
                <c:pt idx="1">
                  <c:v>Karachi Central</c:v>
                </c:pt>
                <c:pt idx="2">
                  <c:v>Korangi</c:v>
                </c:pt>
                <c:pt idx="3">
                  <c:v>Karachi West</c:v>
                </c:pt>
                <c:pt idx="4">
                  <c:v>Malir</c:v>
                </c:pt>
                <c:pt idx="5">
                  <c:v>Karachi South</c:v>
                </c:pt>
                <c:pt idx="6">
                  <c:v>Keamari</c:v>
                </c:pt>
                <c:pt idx="7">
                  <c:v>Lahore City</c:v>
                </c:pt>
                <c:pt idx="8">
                  <c:v>Model Town</c:v>
                </c:pt>
                <c:pt idx="9">
                  <c:v>Shalimar</c:v>
                </c:pt>
                <c:pt idx="10">
                  <c:v>Lahore Cantt</c:v>
                </c:pt>
                <c:pt idx="11">
                  <c:v>Raiwind</c:v>
                </c:pt>
                <c:pt idx="12">
                  <c:v>Multan City</c:v>
                </c:pt>
                <c:pt idx="13">
                  <c:v>Multan Saddar</c:v>
                </c:pt>
                <c:pt idx="14">
                  <c:v>Shujabad</c:v>
                </c:pt>
                <c:pt idx="15">
                  <c:v>Jalalpur Pirwala</c:v>
                </c:pt>
                <c:pt idx="16">
                  <c:v>Peshawar City</c:v>
                </c:pt>
                <c:pt idx="17">
                  <c:v>East Ring</c:v>
                </c:pt>
                <c:pt idx="18">
                  <c:v>North-West Ring</c:v>
                </c:pt>
                <c:pt idx="19">
                  <c:v>South Belt</c:v>
                </c:pt>
                <c:pt idx="20">
                  <c:v>ICT Rural belt</c:v>
                </c:pt>
                <c:pt idx="21">
                  <c:v>ICT Urban</c:v>
                </c:pt>
                <c:pt idx="22">
                  <c:v>DHA Phase VIII + Sahil</c:v>
                </c:pt>
                <c:pt idx="23">
                  <c:v>Bahria Town Karachi</c:v>
                </c:pt>
                <c:pt idx="24">
                  <c:v>DHA Lahore VII-IX + EME</c:v>
                </c:pt>
                <c:pt idx="25">
                  <c:v>Bahria Town Lahore + Lake City</c:v>
                </c:pt>
                <c:pt idx="26">
                  <c:v>DHA Islamabad + Bahria Enclave</c:v>
                </c:pt>
                <c:pt idx="27">
                  <c:v>Hayatabad Ph 6-7 + DHA Peshawar</c:v>
                </c:pt>
                <c:pt idx="28">
                  <c:v>DHA Multan</c:v>
                </c:pt>
              </c:strCache>
            </c:strRef>
          </c:cat>
          <c:val>
            <c:numRef>
              <c:f>Quotas!$H$6:$H$34</c:f>
              <c:numCache>
                <c:formatCode>#,##0</c:formatCode>
                <c:ptCount val="29"/>
                <c:pt idx="0">
                  <c:v>146.194709000319</c:v>
                </c:pt>
                <c:pt idx="1">
                  <c:v>36.7970124571758</c:v>
                </c:pt>
                <c:pt idx="2">
                  <c:v>36.0399971857443</c:v>
                </c:pt>
                <c:pt idx="3">
                  <c:v>40.1696794103366</c:v>
                </c:pt>
                <c:pt idx="4">
                  <c:v>190.051092097362</c:v>
                </c:pt>
                <c:pt idx="5">
                  <c:v>371.888793120816</c:v>
                </c:pt>
                <c:pt idx="6">
                  <c:v>25.2586349050495</c:v>
                </c:pt>
                <c:pt idx="7">
                  <c:v>53.0551859593031</c:v>
                </c:pt>
                <c:pt idx="8">
                  <c:v>206.894093698108</c:v>
                </c:pt>
                <c:pt idx="9">
                  <c:v>36.6887700600952</c:v>
                </c:pt>
                <c:pt idx="10">
                  <c:v>384.699694160414</c:v>
                </c:pt>
                <c:pt idx="11">
                  <c:v>77.0733821382017</c:v>
                </c:pt>
                <c:pt idx="12">
                  <c:v>176.579463427314</c:v>
                </c:pt>
                <c:pt idx="13">
                  <c:v>24.9214365884073</c:v>
                </c:pt>
                <c:pt idx="14">
                  <c:v>11.3931029690154</c:v>
                </c:pt>
                <c:pt idx="15">
                  <c:v>10.299075549522</c:v>
                </c:pt>
                <c:pt idx="16">
                  <c:v>105.440290100509</c:v>
                </c:pt>
                <c:pt idx="17">
                  <c:v>19.4322427524768</c:v>
                </c:pt>
                <c:pt idx="18">
                  <c:v>14.7585199440768</c:v>
                </c:pt>
                <c:pt idx="19">
                  <c:v>7.31773722509933</c:v>
                </c:pt>
                <c:pt idx="20">
                  <c:v>109.274032620283</c:v>
                </c:pt>
                <c:pt idx="21">
                  <c:v>169.147007152659</c:v>
                </c:pt>
                <c:pt idx="22">
                  <c:v>26.19211938294</c:v>
                </c:pt>
                <c:pt idx="23">
                  <c:v>19.644089537205</c:v>
                </c:pt>
                <c:pt idx="24">
                  <c:v>30.55747261343</c:v>
                </c:pt>
                <c:pt idx="25">
                  <c:v>15.278736306715</c:v>
                </c:pt>
                <c:pt idx="26">
                  <c:v>17.46141292196</c:v>
                </c:pt>
                <c:pt idx="27">
                  <c:v>10.913383076225</c:v>
                </c:pt>
                <c:pt idx="28">
                  <c:v>8.73070646098</c:v>
                </c:pt>
              </c:numCache>
            </c:numRef>
          </c:val>
        </c:ser>
        <c:gapWidth val="150"/>
        <c:overlap val="0"/>
        <c:axId val="12161773"/>
        <c:axId val="27529460"/>
      </c:barChart>
      <c:catAx>
        <c:axId val="1216177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7529460"/>
        <c:crosses val="autoZero"/>
        <c:auto val="1"/>
        <c:lblAlgn val="ctr"/>
        <c:lblOffset val="100"/>
        <c:noMultiLvlLbl val="0"/>
      </c:catAx>
      <c:valAx>
        <c:axId val="27529460"/>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Pumps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216177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Population by city, 2023 census → 2030 projection</a:t>
            </a:r>
          </a:p>
        </c:rich>
      </c:tx>
      <c:overlay val="0"/>
      <c:spPr>
        <a:noFill/>
        <a:ln w="0">
          <a:noFill/>
        </a:ln>
      </c:spPr>
    </c:title>
    <c:autoTitleDeleted val="0"/>
    <c:plotArea>
      <c:lineChart>
        <c:grouping val="standard"/>
        <c:varyColors val="0"/>
        <c:ser>
          <c:idx val="0"/>
          <c:order val="0"/>
          <c:tx>
            <c:strRef>
              <c:f>"Karachi"</c:f>
              <c:strCache>
                <c:ptCount val="1"/>
                <c:pt idx="0">
                  <c:v>Karachi</c:v>
                </c:pt>
              </c:strCache>
            </c:strRef>
          </c:tx>
          <c:spPr>
            <a:solidFill>
              <a:srgbClr val="903836"/>
            </a:solidFill>
            <a:ln w="47520">
              <a:solidFill>
                <a:srgbClr val="90383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Projection!$B$31:$I$31</c:f>
              <c:multiLvlStrCache>
                <c:ptCount val="1"/>
                <c:lvl>
                  <c:pt idx="0">
                    <c:v>Pop 2030</c:v>
                  </c:pt>
                </c:lvl>
                <c:lvl>
                  <c:pt idx="0">
                    <c:v>Pop 2029</c:v>
                  </c:pt>
                </c:lvl>
                <c:lvl>
                  <c:pt idx="0">
                    <c:v>Pop 2028</c:v>
                  </c:pt>
                </c:lvl>
                <c:lvl>
                  <c:pt idx="0">
                    <c:v>Pop 2027</c:v>
                  </c:pt>
                </c:lvl>
                <c:lvl>
                  <c:pt idx="0">
                    <c:v>Pop 2026</c:v>
                  </c:pt>
                </c:lvl>
                <c:lvl>
                  <c:pt idx="0">
                    <c:v>Pop 2025</c:v>
                  </c:pt>
                </c:lvl>
                <c:lvl>
                  <c:pt idx="0">
                    <c:v>Pop 2024</c:v>
                  </c:pt>
                </c:lvl>
                <c:lvl>
                  <c:pt idx="0">
                    <c:v>Pop 2023</c:v>
                  </c:pt>
                </c:lvl>
              </c:multiLvlStrCache>
            </c:multiLvlStrRef>
          </c:cat>
          <c:val>
            <c:numRef>
              <c:f>Projection!$B$32:$I$32</c:f>
              <c:numCache>
                <c:formatCode>#,##0</c:formatCode>
                <c:ptCount val="8"/>
                <c:pt idx="0">
                  <c:v>20382881</c:v>
                </c:pt>
                <c:pt idx="1">
                  <c:v>21059812.0983973</c:v>
                </c:pt>
                <c:pt idx="2">
                  <c:v>21759600.565799</c:v>
                </c:pt>
                <c:pt idx="3">
                  <c:v>22483026.4621931</c:v>
                </c:pt>
                <c:pt idx="4">
                  <c:v>23230896.6489759</c:v>
                </c:pt>
                <c:pt idx="5">
                  <c:v>24004045.7137454</c:v>
                </c:pt>
                <c:pt idx="6">
                  <c:v>24803336.9270928</c:v>
                </c:pt>
                <c:pt idx="7">
                  <c:v>25629663.2325015</c:v>
                </c:pt>
              </c:numCache>
            </c:numRef>
          </c:val>
          <c:smooth val="1"/>
        </c:ser>
        <c:ser>
          <c:idx val="1"/>
          <c:order val="1"/>
          <c:tx>
            <c:strRef>
              <c:f>"Lahore"</c:f>
              <c:strCache>
                <c:ptCount val="1"/>
                <c:pt idx="0">
                  <c:v>Lahore</c:v>
                </c:pt>
              </c:strCache>
            </c:strRef>
          </c:tx>
          <c:spPr>
            <a:solidFill>
              <a:srgbClr val="aa433f"/>
            </a:solidFill>
            <a:ln w="47520">
              <a:solidFill>
                <a:srgbClr val="aa433f"/>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Projection!$B$31:$I$31</c:f>
              <c:multiLvlStrCache>
                <c:ptCount val="1"/>
                <c:lvl>
                  <c:pt idx="0">
                    <c:v>Pop 2030</c:v>
                  </c:pt>
                </c:lvl>
                <c:lvl>
                  <c:pt idx="0">
                    <c:v>Pop 2029</c:v>
                  </c:pt>
                </c:lvl>
                <c:lvl>
                  <c:pt idx="0">
                    <c:v>Pop 2028</c:v>
                  </c:pt>
                </c:lvl>
                <c:lvl>
                  <c:pt idx="0">
                    <c:v>Pop 2027</c:v>
                  </c:pt>
                </c:lvl>
                <c:lvl>
                  <c:pt idx="0">
                    <c:v>Pop 2026</c:v>
                  </c:pt>
                </c:lvl>
                <c:lvl>
                  <c:pt idx="0">
                    <c:v>Pop 2025</c:v>
                  </c:pt>
                </c:lvl>
                <c:lvl>
                  <c:pt idx="0">
                    <c:v>Pop 2024</c:v>
                  </c:pt>
                </c:lvl>
                <c:lvl>
                  <c:pt idx="0">
                    <c:v>Pop 2023</c:v>
                  </c:pt>
                </c:lvl>
              </c:multiLvlStrCache>
            </c:multiLvlStrRef>
          </c:cat>
          <c:val>
            <c:numRef>
              <c:f>Projection!$B$33:$I$33</c:f>
              <c:numCache>
                <c:formatCode>#,##0</c:formatCode>
                <c:ptCount val="8"/>
                <c:pt idx="0">
                  <c:v>13004135</c:v>
                </c:pt>
                <c:pt idx="1">
                  <c:v>13342645.7509902</c:v>
                </c:pt>
                <c:pt idx="2">
                  <c:v>13690235.7597772</c:v>
                </c:pt>
                <c:pt idx="3">
                  <c:v>14047155.7217833</c:v>
                </c:pt>
                <c:pt idx="4">
                  <c:v>14413663.4466867</c:v>
                </c:pt>
                <c:pt idx="5">
                  <c:v>14790024.0654477</c:v>
                </c:pt>
                <c:pt idx="6">
                  <c:v>15176510.2434967</c:v>
                </c:pt>
                <c:pt idx="7">
                  <c:v>15573402.4002715</c:v>
                </c:pt>
              </c:numCache>
            </c:numRef>
          </c:val>
          <c:smooth val="1"/>
        </c:ser>
        <c:ser>
          <c:idx val="2"/>
          <c:order val="2"/>
          <c:tx>
            <c:strRef>
              <c:f>"Multan"</c:f>
              <c:strCache>
                <c:ptCount val="1"/>
                <c:pt idx="0">
                  <c:v>Multan</c:v>
                </c:pt>
              </c:strCache>
            </c:strRef>
          </c:tx>
          <c:spPr>
            <a:solidFill>
              <a:srgbClr val="be4b48"/>
            </a:solidFill>
            <a:ln w="4752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Projection!$B$31:$I$31</c:f>
              <c:multiLvlStrCache>
                <c:ptCount val="1"/>
                <c:lvl>
                  <c:pt idx="0">
                    <c:v>Pop 2030</c:v>
                  </c:pt>
                </c:lvl>
                <c:lvl>
                  <c:pt idx="0">
                    <c:v>Pop 2029</c:v>
                  </c:pt>
                </c:lvl>
                <c:lvl>
                  <c:pt idx="0">
                    <c:v>Pop 2028</c:v>
                  </c:pt>
                </c:lvl>
                <c:lvl>
                  <c:pt idx="0">
                    <c:v>Pop 2027</c:v>
                  </c:pt>
                </c:lvl>
                <c:lvl>
                  <c:pt idx="0">
                    <c:v>Pop 2026</c:v>
                  </c:pt>
                </c:lvl>
                <c:lvl>
                  <c:pt idx="0">
                    <c:v>Pop 2025</c:v>
                  </c:pt>
                </c:lvl>
                <c:lvl>
                  <c:pt idx="0">
                    <c:v>Pop 2024</c:v>
                  </c:pt>
                </c:lvl>
                <c:lvl>
                  <c:pt idx="0">
                    <c:v>Pop 2023</c:v>
                  </c:pt>
                </c:lvl>
              </c:multiLvlStrCache>
            </c:multiLvlStrRef>
          </c:cat>
          <c:val>
            <c:numRef>
              <c:f>Projection!$B$34:$I$34</c:f>
              <c:numCache>
                <c:formatCode>#,##0</c:formatCode>
                <c:ptCount val="8"/>
                <c:pt idx="0">
                  <c:v>5362305</c:v>
                </c:pt>
                <c:pt idx="1">
                  <c:v>5472592.78157528</c:v>
                </c:pt>
                <c:pt idx="2">
                  <c:v>5585173.93527667</c:v>
                </c:pt>
                <c:pt idx="3">
                  <c:v>5700096.6091212</c:v>
                </c:pt>
                <c:pt idx="4">
                  <c:v>5817409.97044228</c:v>
                </c:pt>
                <c:pt idx="5">
                  <c:v>5937164.2276277</c:v>
                </c:pt>
                <c:pt idx="6">
                  <c:v>6059410.65232415</c:v>
                </c:pt>
                <c:pt idx="7">
                  <c:v>6184201.60211848</c:v>
                </c:pt>
              </c:numCache>
            </c:numRef>
          </c:val>
          <c:smooth val="1"/>
        </c:ser>
        <c:ser>
          <c:idx val="3"/>
          <c:order val="3"/>
          <c:tx>
            <c:strRef>
              <c:f>"Peshawar"</c:f>
              <c:strCache>
                <c:ptCount val="1"/>
                <c:pt idx="0">
                  <c:v>Peshawar</c:v>
                </c:pt>
              </c:strCache>
            </c:strRef>
          </c:tx>
          <c:spPr>
            <a:solidFill>
              <a:srgbClr val="cc8f8e"/>
            </a:solidFill>
            <a:ln w="47520">
              <a:solidFill>
                <a:srgbClr val="cc8f8e"/>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Projection!$B$31:$I$31</c:f>
              <c:multiLvlStrCache>
                <c:ptCount val="1"/>
                <c:lvl>
                  <c:pt idx="0">
                    <c:v>Pop 2030</c:v>
                  </c:pt>
                </c:lvl>
                <c:lvl>
                  <c:pt idx="0">
                    <c:v>Pop 2029</c:v>
                  </c:pt>
                </c:lvl>
                <c:lvl>
                  <c:pt idx="0">
                    <c:v>Pop 2028</c:v>
                  </c:pt>
                </c:lvl>
                <c:lvl>
                  <c:pt idx="0">
                    <c:v>Pop 2027</c:v>
                  </c:pt>
                </c:lvl>
                <c:lvl>
                  <c:pt idx="0">
                    <c:v>Pop 2026</c:v>
                  </c:pt>
                </c:lvl>
                <c:lvl>
                  <c:pt idx="0">
                    <c:v>Pop 2025</c:v>
                  </c:pt>
                </c:lvl>
                <c:lvl>
                  <c:pt idx="0">
                    <c:v>Pop 2024</c:v>
                  </c:pt>
                </c:lvl>
                <c:lvl>
                  <c:pt idx="0">
                    <c:v>Pop 2023</c:v>
                  </c:pt>
                </c:lvl>
              </c:multiLvlStrCache>
            </c:multiLvlStrRef>
          </c:cat>
          <c:val>
            <c:numRef>
              <c:f>Projection!$B$35:$I$35</c:f>
              <c:numCache>
                <c:formatCode>#,##0</c:formatCode>
                <c:ptCount val="8"/>
                <c:pt idx="0">
                  <c:v>4758762</c:v>
                </c:pt>
                <c:pt idx="1">
                  <c:v>4840182.51969325</c:v>
                </c:pt>
                <c:pt idx="2">
                  <c:v>4924169.28959761</c:v>
                </c:pt>
                <c:pt idx="3">
                  <c:v>5010804.74099708</c:v>
                </c:pt>
                <c:pt idx="4">
                  <c:v>5100173.99280736</c:v>
                </c:pt>
                <c:pt idx="5">
                  <c:v>5192364.94023814</c:v>
                </c:pt>
                <c:pt idx="6">
                  <c:v>5287468.34640746</c:v>
                </c:pt>
                <c:pt idx="7">
                  <c:v>5385577.93700707</c:v>
                </c:pt>
              </c:numCache>
            </c:numRef>
          </c:val>
          <c:smooth val="1"/>
        </c:ser>
        <c:ser>
          <c:idx val="4"/>
          <c:order val="4"/>
          <c:tx>
            <c:strRef>
              <c:f>"Islamabad"</c:f>
              <c:strCache>
                <c:ptCount val="1"/>
                <c:pt idx="0">
                  <c:v>Islamabad</c:v>
                </c:pt>
              </c:strCache>
            </c:strRef>
          </c:tx>
          <c:spPr>
            <a:solidFill>
              <a:srgbClr val="dcb7b6"/>
            </a:solidFill>
            <a:ln w="47520">
              <a:solidFill>
                <a:srgbClr val="dcb7b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Projection!$B$31:$I$31</c:f>
              <c:multiLvlStrCache>
                <c:ptCount val="1"/>
                <c:lvl>
                  <c:pt idx="0">
                    <c:v>Pop 2030</c:v>
                  </c:pt>
                </c:lvl>
                <c:lvl>
                  <c:pt idx="0">
                    <c:v>Pop 2029</c:v>
                  </c:pt>
                </c:lvl>
                <c:lvl>
                  <c:pt idx="0">
                    <c:v>Pop 2028</c:v>
                  </c:pt>
                </c:lvl>
                <c:lvl>
                  <c:pt idx="0">
                    <c:v>Pop 2027</c:v>
                  </c:pt>
                </c:lvl>
                <c:lvl>
                  <c:pt idx="0">
                    <c:v>Pop 2026</c:v>
                  </c:pt>
                </c:lvl>
                <c:lvl>
                  <c:pt idx="0">
                    <c:v>Pop 2025</c:v>
                  </c:pt>
                </c:lvl>
                <c:lvl>
                  <c:pt idx="0">
                    <c:v>Pop 2024</c:v>
                  </c:pt>
                </c:lvl>
                <c:lvl>
                  <c:pt idx="0">
                    <c:v>Pop 2023</c:v>
                  </c:pt>
                </c:lvl>
              </c:multiLvlStrCache>
            </c:multiLvlStrRef>
          </c:cat>
          <c:val>
            <c:numRef>
              <c:f>Projection!$B$36:$I$36</c:f>
              <c:numCache>
                <c:formatCode>#,##0</c:formatCode>
                <c:ptCount val="8"/>
                <c:pt idx="0">
                  <c:v>2363863</c:v>
                </c:pt>
                <c:pt idx="1">
                  <c:v>2424288.60537589</c:v>
                </c:pt>
                <c:pt idx="2">
                  <c:v>2486497.12188934</c:v>
                </c:pt>
                <c:pt idx="3">
                  <c:v>2550546.01122167</c:v>
                </c:pt>
                <c:pt idx="4">
                  <c:v>2616494.6726987</c:v>
                </c:pt>
                <c:pt idx="5">
                  <c:v>2684404.51001437</c:v>
                </c:pt>
                <c:pt idx="6">
                  <c:v>2754339.00027337</c:v>
                </c:pt>
                <c:pt idx="7">
                  <c:v>2826363.76543381</c:v>
                </c:pt>
              </c:numCache>
            </c:numRef>
          </c:val>
          <c:smooth val="1"/>
        </c:ser>
        <c:hiLowLines>
          <c:spPr>
            <a:ln w="0">
              <a:noFill/>
            </a:ln>
          </c:spPr>
        </c:hiLowLines>
        <c:marker val="0"/>
        <c:axId val="38697747"/>
        <c:axId val="4007896"/>
      </c:lineChart>
      <c:catAx>
        <c:axId val="3869774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007896"/>
        <c:crosses val="autoZero"/>
        <c:auto val="1"/>
        <c:lblAlgn val="ctr"/>
        <c:lblOffset val="100"/>
        <c:noMultiLvlLbl val="0"/>
      </c:catAx>
      <c:valAx>
        <c:axId val="4007896"/>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People</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869774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Households by city, 2023 → 2030</a:t>
            </a:r>
          </a:p>
        </c:rich>
      </c:tx>
      <c:overlay val="0"/>
      <c:spPr>
        <a:noFill/>
        <a:ln w="0">
          <a:noFill/>
        </a:ln>
      </c:spPr>
    </c:title>
    <c:autoTitleDeleted val="0"/>
    <c:plotArea>
      <c:lineChart>
        <c:grouping val="standard"/>
        <c:varyColors val="0"/>
        <c:ser>
          <c:idx val="0"/>
          <c:order val="0"/>
          <c:tx>
            <c:strRef>
              <c:f>"Karachi"</c:f>
              <c:strCache>
                <c:ptCount val="1"/>
                <c:pt idx="0">
                  <c:v>Karachi</c:v>
                </c:pt>
              </c:strCache>
            </c:strRef>
          </c:tx>
          <c:spPr>
            <a:solidFill>
              <a:srgbClr val="903836"/>
            </a:solidFill>
            <a:ln w="47520">
              <a:solidFill>
                <a:srgbClr val="90383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Projection!$J$31:$Q$31</c:f>
              <c:multiLvlStrCache>
                <c:ptCount val="1"/>
                <c:lvl>
                  <c:pt idx="0">
                    <c:v>HH 2030</c:v>
                  </c:pt>
                </c:lvl>
                <c:lvl>
                  <c:pt idx="0">
                    <c:v>HH 2029</c:v>
                  </c:pt>
                </c:lvl>
                <c:lvl>
                  <c:pt idx="0">
                    <c:v>HH 2028</c:v>
                  </c:pt>
                </c:lvl>
                <c:lvl>
                  <c:pt idx="0">
                    <c:v>HH 2027</c:v>
                  </c:pt>
                </c:lvl>
                <c:lvl>
                  <c:pt idx="0">
                    <c:v>HH 2026</c:v>
                  </c:pt>
                </c:lvl>
                <c:lvl>
                  <c:pt idx="0">
                    <c:v>HH 2025</c:v>
                  </c:pt>
                </c:lvl>
                <c:lvl>
                  <c:pt idx="0">
                    <c:v>HH 2024</c:v>
                  </c:pt>
                </c:lvl>
                <c:lvl>
                  <c:pt idx="0">
                    <c:v>HH 2023</c:v>
                  </c:pt>
                </c:lvl>
              </c:multiLvlStrCache>
            </c:multiLvlStrRef>
          </c:cat>
          <c:val>
            <c:numRef>
              <c:f>Projection!$J$32:$Q$32</c:f>
              <c:numCache>
                <c:formatCode>#,##0</c:formatCode>
                <c:ptCount val="8"/>
                <c:pt idx="0">
                  <c:v>3471795.73774755</c:v>
                </c:pt>
                <c:pt idx="1">
                  <c:v>3587593.41491361</c:v>
                </c:pt>
                <c:pt idx="2">
                  <c:v>3707312.95680852</c:v>
                </c:pt>
                <c:pt idx="3">
                  <c:v>3831088.49374255</c:v>
                </c:pt>
                <c:pt idx="4">
                  <c:v>3959058.77175973</c:v>
                </c:pt>
                <c:pt idx="5">
                  <c:v>4091367.31209774</c:v>
                </c:pt>
                <c:pt idx="6">
                  <c:v>4228162.57617064</c:v>
                </c:pt>
                <c:pt idx="7">
                  <c:v>4369598.13626574</c:v>
                </c:pt>
              </c:numCache>
            </c:numRef>
          </c:val>
          <c:smooth val="1"/>
        </c:ser>
        <c:ser>
          <c:idx val="1"/>
          <c:order val="1"/>
          <c:tx>
            <c:strRef>
              <c:f>"Lahore"</c:f>
              <c:strCache>
                <c:ptCount val="1"/>
                <c:pt idx="0">
                  <c:v>Lahore</c:v>
                </c:pt>
              </c:strCache>
            </c:strRef>
          </c:tx>
          <c:spPr>
            <a:solidFill>
              <a:srgbClr val="aa433f"/>
            </a:solidFill>
            <a:ln w="47520">
              <a:solidFill>
                <a:srgbClr val="aa433f"/>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Projection!$J$31:$Q$31</c:f>
              <c:multiLvlStrCache>
                <c:ptCount val="1"/>
                <c:lvl>
                  <c:pt idx="0">
                    <c:v>HH 2030</c:v>
                  </c:pt>
                </c:lvl>
                <c:lvl>
                  <c:pt idx="0">
                    <c:v>HH 2029</c:v>
                  </c:pt>
                </c:lvl>
                <c:lvl>
                  <c:pt idx="0">
                    <c:v>HH 2028</c:v>
                  </c:pt>
                </c:lvl>
                <c:lvl>
                  <c:pt idx="0">
                    <c:v>HH 2027</c:v>
                  </c:pt>
                </c:lvl>
                <c:lvl>
                  <c:pt idx="0">
                    <c:v>HH 2026</c:v>
                  </c:pt>
                </c:lvl>
                <c:lvl>
                  <c:pt idx="0">
                    <c:v>HH 2025</c:v>
                  </c:pt>
                </c:lvl>
                <c:lvl>
                  <c:pt idx="0">
                    <c:v>HH 2024</c:v>
                  </c:pt>
                </c:lvl>
                <c:lvl>
                  <c:pt idx="0">
                    <c:v>HH 2023</c:v>
                  </c:pt>
                </c:lvl>
              </c:multiLvlStrCache>
            </c:multiLvlStrRef>
          </c:cat>
          <c:val>
            <c:numRef>
              <c:f>Projection!$J$33:$Q$33</c:f>
              <c:numCache>
                <c:formatCode>#,##0</c:formatCode>
                <c:ptCount val="8"/>
                <c:pt idx="0">
                  <c:v>2028161.7948718</c:v>
                </c:pt>
                <c:pt idx="1">
                  <c:v>2080994.68114572</c:v>
                </c:pt>
                <c:pt idx="2">
                  <c:v>2135245.45293964</c:v>
                </c:pt>
                <c:pt idx="3">
                  <c:v>2190953.2806088</c:v>
                </c:pt>
                <c:pt idx="4">
                  <c:v>2248158.44659993</c:v>
                </c:pt>
                <c:pt idx="5">
                  <c:v>2306902.37782803</c:v>
                </c:pt>
                <c:pt idx="6">
                  <c:v>2367227.67901731</c:v>
                </c:pt>
                <c:pt idx="7">
                  <c:v>2429178.16703572</c:v>
                </c:pt>
              </c:numCache>
            </c:numRef>
          </c:val>
          <c:smooth val="1"/>
        </c:ser>
        <c:ser>
          <c:idx val="2"/>
          <c:order val="2"/>
          <c:tx>
            <c:strRef>
              <c:f>"Multan"</c:f>
              <c:strCache>
                <c:ptCount val="1"/>
                <c:pt idx="0">
                  <c:v>Multan</c:v>
                </c:pt>
              </c:strCache>
            </c:strRef>
          </c:tx>
          <c:spPr>
            <a:solidFill>
              <a:srgbClr val="be4b48"/>
            </a:solidFill>
            <a:ln w="4752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Projection!$J$31:$Q$31</c:f>
              <c:multiLvlStrCache>
                <c:ptCount val="1"/>
                <c:lvl>
                  <c:pt idx="0">
                    <c:v>HH 2030</c:v>
                  </c:pt>
                </c:lvl>
                <c:lvl>
                  <c:pt idx="0">
                    <c:v>HH 2029</c:v>
                  </c:pt>
                </c:lvl>
                <c:lvl>
                  <c:pt idx="0">
                    <c:v>HH 2028</c:v>
                  </c:pt>
                </c:lvl>
                <c:lvl>
                  <c:pt idx="0">
                    <c:v>HH 2027</c:v>
                  </c:pt>
                </c:lvl>
                <c:lvl>
                  <c:pt idx="0">
                    <c:v>HH 2026</c:v>
                  </c:pt>
                </c:lvl>
                <c:lvl>
                  <c:pt idx="0">
                    <c:v>HH 2025</c:v>
                  </c:pt>
                </c:lvl>
                <c:lvl>
                  <c:pt idx="0">
                    <c:v>HH 2024</c:v>
                  </c:pt>
                </c:lvl>
                <c:lvl>
                  <c:pt idx="0">
                    <c:v>HH 2023</c:v>
                  </c:pt>
                </c:lvl>
              </c:multiLvlStrCache>
            </c:multiLvlStrRef>
          </c:cat>
          <c:val>
            <c:numRef>
              <c:f>Projection!$J$34:$Q$34</c:f>
              <c:numCache>
                <c:formatCode>#,##0</c:formatCode>
                <c:ptCount val="8"/>
                <c:pt idx="0">
                  <c:v>886331.404958678</c:v>
                </c:pt>
                <c:pt idx="1">
                  <c:v>904560.790343021</c:v>
                </c:pt>
                <c:pt idx="2">
                  <c:v>923169.245500276</c:v>
                </c:pt>
                <c:pt idx="3">
                  <c:v>942164.728780364</c:v>
                </c:pt>
                <c:pt idx="4">
                  <c:v>961555.367015254</c:v>
                </c:pt>
                <c:pt idx="5">
                  <c:v>981349.459112016</c:v>
                </c:pt>
                <c:pt idx="6">
                  <c:v>1001555.479723</c:v>
                </c:pt>
                <c:pt idx="7">
                  <c:v>1022182.08299479</c:v>
                </c:pt>
              </c:numCache>
            </c:numRef>
          </c:val>
          <c:smooth val="1"/>
        </c:ser>
        <c:ser>
          <c:idx val="3"/>
          <c:order val="3"/>
          <c:tx>
            <c:strRef>
              <c:f>"Peshawar"</c:f>
              <c:strCache>
                <c:ptCount val="1"/>
                <c:pt idx="0">
                  <c:v>Peshawar</c:v>
                </c:pt>
              </c:strCache>
            </c:strRef>
          </c:tx>
          <c:spPr>
            <a:solidFill>
              <a:srgbClr val="cc8f8e"/>
            </a:solidFill>
            <a:ln w="47520">
              <a:solidFill>
                <a:srgbClr val="cc8f8e"/>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Projection!$J$31:$Q$31</c:f>
              <c:multiLvlStrCache>
                <c:ptCount val="1"/>
                <c:lvl>
                  <c:pt idx="0">
                    <c:v>HH 2030</c:v>
                  </c:pt>
                </c:lvl>
                <c:lvl>
                  <c:pt idx="0">
                    <c:v>HH 2029</c:v>
                  </c:pt>
                </c:lvl>
                <c:lvl>
                  <c:pt idx="0">
                    <c:v>HH 2028</c:v>
                  </c:pt>
                </c:lvl>
                <c:lvl>
                  <c:pt idx="0">
                    <c:v>HH 2027</c:v>
                  </c:pt>
                </c:lvl>
                <c:lvl>
                  <c:pt idx="0">
                    <c:v>HH 2026</c:v>
                  </c:pt>
                </c:lvl>
                <c:lvl>
                  <c:pt idx="0">
                    <c:v>HH 2025</c:v>
                  </c:pt>
                </c:lvl>
                <c:lvl>
                  <c:pt idx="0">
                    <c:v>HH 2024</c:v>
                  </c:pt>
                </c:lvl>
                <c:lvl>
                  <c:pt idx="0">
                    <c:v>HH 2023</c:v>
                  </c:pt>
                </c:lvl>
              </c:multiLvlStrCache>
            </c:multiLvlStrRef>
          </c:cat>
          <c:val>
            <c:numRef>
              <c:f>Projection!$J$35:$Q$35</c:f>
              <c:numCache>
                <c:formatCode>#,##0</c:formatCode>
                <c:ptCount val="8"/>
                <c:pt idx="0">
                  <c:v>694882.016364071</c:v>
                </c:pt>
                <c:pt idx="1">
                  <c:v>706913.808420245</c:v>
                </c:pt>
                <c:pt idx="2">
                  <c:v>719326.798941563</c:v>
                </c:pt>
                <c:pt idx="3">
                  <c:v>732133.2873207</c:v>
                </c:pt>
                <c:pt idx="4">
                  <c:v>745345.975501949</c:v>
                </c:pt>
                <c:pt idx="5">
                  <c:v>758977.981304613</c:v>
                </c:pt>
                <c:pt idx="6">
                  <c:v>773042.852191267</c:v>
                </c:pt>
                <c:pt idx="7">
                  <c:v>787554.579495853</c:v>
                </c:pt>
              </c:numCache>
            </c:numRef>
          </c:val>
          <c:smooth val="1"/>
        </c:ser>
        <c:ser>
          <c:idx val="4"/>
          <c:order val="4"/>
          <c:tx>
            <c:strRef>
              <c:f>"Islamabad"</c:f>
              <c:strCache>
                <c:ptCount val="1"/>
                <c:pt idx="0">
                  <c:v>Islamabad</c:v>
                </c:pt>
              </c:strCache>
            </c:strRef>
          </c:tx>
          <c:spPr>
            <a:solidFill>
              <a:srgbClr val="dcb7b6"/>
            </a:solidFill>
            <a:ln w="47520">
              <a:solidFill>
                <a:srgbClr val="dcb7b6"/>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Projection!$J$31:$Q$31</c:f>
              <c:multiLvlStrCache>
                <c:ptCount val="1"/>
                <c:lvl>
                  <c:pt idx="0">
                    <c:v>HH 2030</c:v>
                  </c:pt>
                </c:lvl>
                <c:lvl>
                  <c:pt idx="0">
                    <c:v>HH 2029</c:v>
                  </c:pt>
                </c:lvl>
                <c:lvl>
                  <c:pt idx="0">
                    <c:v>HH 2028</c:v>
                  </c:pt>
                </c:lvl>
                <c:lvl>
                  <c:pt idx="0">
                    <c:v>HH 2027</c:v>
                  </c:pt>
                </c:lvl>
                <c:lvl>
                  <c:pt idx="0">
                    <c:v>HH 2026</c:v>
                  </c:pt>
                </c:lvl>
                <c:lvl>
                  <c:pt idx="0">
                    <c:v>HH 2025</c:v>
                  </c:pt>
                </c:lvl>
                <c:lvl>
                  <c:pt idx="0">
                    <c:v>HH 2024</c:v>
                  </c:pt>
                </c:lvl>
                <c:lvl>
                  <c:pt idx="0">
                    <c:v>HH 2023</c:v>
                  </c:pt>
                </c:lvl>
              </c:multiLvlStrCache>
            </c:multiLvlStrRef>
          </c:cat>
          <c:val>
            <c:numRef>
              <c:f>Projection!$J$36:$Q$36</c:f>
              <c:numCache>
                <c:formatCode>#,##0</c:formatCode>
                <c:ptCount val="8"/>
                <c:pt idx="0">
                  <c:v>414712.807017544</c:v>
                </c:pt>
                <c:pt idx="1">
                  <c:v>425313.790416822</c:v>
                </c:pt>
                <c:pt idx="2">
                  <c:v>436227.565243744</c:v>
                </c:pt>
                <c:pt idx="3">
                  <c:v>447464.21249503</c:v>
                </c:pt>
                <c:pt idx="4">
                  <c:v>459034.153105035</c:v>
                </c:pt>
                <c:pt idx="5">
                  <c:v>470948.159651643</c:v>
                </c:pt>
                <c:pt idx="6">
                  <c:v>483217.368469012</c:v>
                </c:pt>
                <c:pt idx="7">
                  <c:v>495853.29218137</c:v>
                </c:pt>
              </c:numCache>
            </c:numRef>
          </c:val>
          <c:smooth val="1"/>
        </c:ser>
        <c:hiLowLines>
          <c:spPr>
            <a:ln w="0">
              <a:noFill/>
            </a:ln>
          </c:spPr>
        </c:hiLowLines>
        <c:marker val="0"/>
        <c:axId val="78037787"/>
        <c:axId val="57076729"/>
      </c:lineChart>
      <c:catAx>
        <c:axId val="7803778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7076729"/>
        <c:crosses val="autoZero"/>
        <c:auto val="1"/>
        <c:lblAlgn val="ctr"/>
        <c:lblOffset val="100"/>
        <c:noMultiLvlLbl val="0"/>
      </c:catAx>
      <c:valAx>
        <c:axId val="5707672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Households</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8037787"/>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xdr:row>
      <xdr:rowOff>160920</xdr:rowOff>
    </xdr:from>
    <xdr:to>
      <xdr:col>16</xdr:col>
      <xdr:colOff>1626840</xdr:colOff>
      <xdr:row>23</xdr:row>
      <xdr:rowOff>119880</xdr:rowOff>
    </xdr:to>
    <xdr:graphicFrame>
      <xdr:nvGraphicFramePr>
        <xdr:cNvPr id="0" name="Chart 1"/>
        <xdr:cNvGraphicFramePr/>
      </xdr:nvGraphicFramePr>
      <xdr:xfrm>
        <a:off x="211320" y="571680"/>
        <a:ext cx="10799640" cy="39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26</xdr:row>
      <xdr:rowOff>160920</xdr:rowOff>
    </xdr:from>
    <xdr:to>
      <xdr:col>16</xdr:col>
      <xdr:colOff>1626840</xdr:colOff>
      <xdr:row>43</xdr:row>
      <xdr:rowOff>162000</xdr:rowOff>
    </xdr:to>
    <xdr:graphicFrame>
      <xdr:nvGraphicFramePr>
        <xdr:cNvPr id="1" name="Chart 2"/>
        <xdr:cNvGraphicFramePr/>
      </xdr:nvGraphicFramePr>
      <xdr:xfrm>
        <a:off x="211320" y="5143680"/>
        <a:ext cx="10799640" cy="32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45</xdr:row>
      <xdr:rowOff>160920</xdr:rowOff>
    </xdr:from>
    <xdr:to>
      <xdr:col>16</xdr:col>
      <xdr:colOff>1626840</xdr:colOff>
      <xdr:row>62</xdr:row>
      <xdr:rowOff>162000</xdr:rowOff>
    </xdr:to>
    <xdr:graphicFrame>
      <xdr:nvGraphicFramePr>
        <xdr:cNvPr id="2" name="Chart 3"/>
        <xdr:cNvGraphicFramePr/>
      </xdr:nvGraphicFramePr>
      <xdr:xfrm>
        <a:off x="211320" y="8763120"/>
        <a:ext cx="10799640" cy="323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64</xdr:row>
      <xdr:rowOff>160560</xdr:rowOff>
    </xdr:from>
    <xdr:to>
      <xdr:col>16</xdr:col>
      <xdr:colOff>1626840</xdr:colOff>
      <xdr:row>81</xdr:row>
      <xdr:rowOff>162000</xdr:rowOff>
    </xdr:to>
    <xdr:graphicFrame>
      <xdr:nvGraphicFramePr>
        <xdr:cNvPr id="3" name="Chart 4"/>
        <xdr:cNvGraphicFramePr/>
      </xdr:nvGraphicFramePr>
      <xdr:xfrm>
        <a:off x="211320" y="12382560"/>
        <a:ext cx="10799640" cy="323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83</xdr:row>
      <xdr:rowOff>160560</xdr:rowOff>
    </xdr:from>
    <xdr:to>
      <xdr:col>16</xdr:col>
      <xdr:colOff>1626840</xdr:colOff>
      <xdr:row>100</xdr:row>
      <xdr:rowOff>161640</xdr:rowOff>
    </xdr:to>
    <xdr:graphicFrame>
      <xdr:nvGraphicFramePr>
        <xdr:cNvPr id="4" name="Chart 5"/>
        <xdr:cNvGraphicFramePr/>
      </xdr:nvGraphicFramePr>
      <xdr:xfrm>
        <a:off x="211320" y="16002000"/>
        <a:ext cx="10799640" cy="323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0</xdr:colOff>
      <xdr:row>102</xdr:row>
      <xdr:rowOff>160560</xdr:rowOff>
    </xdr:from>
    <xdr:to>
      <xdr:col>16</xdr:col>
      <xdr:colOff>1626840</xdr:colOff>
      <xdr:row>119</xdr:row>
      <xdr:rowOff>161640</xdr:rowOff>
    </xdr:to>
    <xdr:graphicFrame>
      <xdr:nvGraphicFramePr>
        <xdr:cNvPr id="5" name="Chart 6"/>
        <xdr:cNvGraphicFramePr/>
      </xdr:nvGraphicFramePr>
      <xdr:xfrm>
        <a:off x="211320" y="19621440"/>
        <a:ext cx="10799640" cy="3239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0</xdr:colOff>
      <xdr:row>121</xdr:row>
      <xdr:rowOff>160560</xdr:rowOff>
    </xdr:from>
    <xdr:to>
      <xdr:col>16</xdr:col>
      <xdr:colOff>1626840</xdr:colOff>
      <xdr:row>138</xdr:row>
      <xdr:rowOff>161640</xdr:rowOff>
    </xdr:to>
    <xdr:graphicFrame>
      <xdr:nvGraphicFramePr>
        <xdr:cNvPr id="6" name="Chart 7"/>
        <xdr:cNvGraphicFramePr/>
      </xdr:nvGraphicFramePr>
      <xdr:xfrm>
        <a:off x="211320" y="23240880"/>
        <a:ext cx="10799640" cy="32396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4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row>
    <row r="6" customFormat="false" ht="15" hidden="false" customHeight="false" outlineLevel="0" collapsed="false">
      <c r="A6" s="4" t="s">
        <v>4</v>
      </c>
    </row>
    <row r="7" customFormat="false" ht="15" hidden="false" customHeight="false" outlineLevel="0" collapsed="false">
      <c r="A7" s="4" t="s">
        <v>5</v>
      </c>
    </row>
    <row r="8" customFormat="false" ht="15" hidden="false" customHeight="false" outlineLevel="0" collapsed="false">
      <c r="A8" s="4" t="s">
        <v>6</v>
      </c>
    </row>
    <row r="10" customFormat="false" ht="15" hidden="false" customHeight="false" outlineLevel="0" collapsed="false">
      <c r="A10" s="3" t="s">
        <v>7</v>
      </c>
    </row>
    <row r="11" customFormat="false" ht="15" hidden="false" customHeight="false" outlineLevel="0" collapsed="false">
      <c r="A11" s="4" t="s">
        <v>8</v>
      </c>
    </row>
    <row r="12" customFormat="false" ht="15" hidden="false" customHeight="false" outlineLevel="0" collapsed="false">
      <c r="A12" s="4" t="s">
        <v>9</v>
      </c>
    </row>
    <row r="14" customFormat="false" ht="15" hidden="false" customHeight="false" outlineLevel="0" collapsed="false">
      <c r="A14" s="3" t="s">
        <v>10</v>
      </c>
    </row>
    <row r="15" customFormat="false" ht="15" hidden="false" customHeight="false" outlineLevel="0" collapsed="false">
      <c r="A15" s="4" t="s">
        <v>11</v>
      </c>
    </row>
    <row r="16" customFormat="false" ht="15" hidden="false" customHeight="false" outlineLevel="0" collapsed="false">
      <c r="A16" s="4" t="s">
        <v>12</v>
      </c>
    </row>
    <row r="17" customFormat="false" ht="15" hidden="false" customHeight="false" outlineLevel="0" collapsed="false">
      <c r="A17" s="4" t="s">
        <v>13</v>
      </c>
    </row>
    <row r="18" customFormat="false" ht="15" hidden="false" customHeight="false" outlineLevel="0" collapsed="false">
      <c r="A18" s="4" t="s">
        <v>14</v>
      </c>
    </row>
    <row r="19" customFormat="false" ht="15" hidden="false" customHeight="false" outlineLevel="0" collapsed="false">
      <c r="A19" s="4" t="s">
        <v>15</v>
      </c>
    </row>
    <row r="20" customFormat="false" ht="15" hidden="false" customHeight="false" outlineLevel="0" collapsed="false">
      <c r="A20" s="4" t="s">
        <v>16</v>
      </c>
    </row>
    <row r="21" customFormat="false" ht="15" hidden="false" customHeight="false" outlineLevel="0" collapsed="false">
      <c r="A21" s="4" t="s">
        <v>17</v>
      </c>
    </row>
    <row r="22" customFormat="false" ht="15" hidden="false" customHeight="false" outlineLevel="0" collapsed="false">
      <c r="A22" s="4" t="s">
        <v>18</v>
      </c>
    </row>
    <row r="23" customFormat="false" ht="15" hidden="false" customHeight="false" outlineLevel="0" collapsed="false">
      <c r="A23" s="4" t="s">
        <v>19</v>
      </c>
    </row>
    <row r="24" customFormat="false" ht="15" hidden="false" customHeight="false" outlineLevel="0" collapsed="false">
      <c r="A24" s="4" t="s">
        <v>20</v>
      </c>
    </row>
    <row r="26" customFormat="false" ht="15" hidden="false" customHeight="false" outlineLevel="0" collapsed="false">
      <c r="A26" s="3" t="s">
        <v>21</v>
      </c>
    </row>
    <row r="27" customFormat="false" ht="15" hidden="false" customHeight="false" outlineLevel="0" collapsed="false">
      <c r="A27" s="4" t="s">
        <v>22</v>
      </c>
    </row>
    <row r="29" customFormat="false" ht="15" hidden="false" customHeight="false" outlineLevel="0" collapsed="false">
      <c r="A29" s="3" t="s">
        <v>23</v>
      </c>
    </row>
    <row r="30" customFormat="false" ht="15" hidden="false" customHeight="false" outlineLevel="0" collapsed="false">
      <c r="A30" s="4" t="s">
        <v>24</v>
      </c>
    </row>
    <row r="31" customFormat="false" ht="15" hidden="false" customHeight="false" outlineLevel="0" collapsed="false">
      <c r="A31" s="4" t="s">
        <v>25</v>
      </c>
    </row>
    <row r="32" customFormat="false" ht="15" hidden="false" customHeight="false" outlineLevel="0" collapsed="false">
      <c r="A32" s="4" t="s">
        <v>26</v>
      </c>
    </row>
    <row r="34" customFormat="false" ht="15" hidden="false" customHeight="false" outlineLevel="0" collapsed="false">
      <c r="A34" s="3" t="s">
        <v>27</v>
      </c>
    </row>
    <row r="35" customFormat="false" ht="15" hidden="false" customHeight="false" outlineLevel="0" collapsed="false">
      <c r="A35" s="4" t="s">
        <v>28</v>
      </c>
    </row>
    <row r="36" customFormat="false" ht="15" hidden="false" customHeight="false" outlineLevel="0" collapsed="false">
      <c r="A36" s="4" t="s">
        <v>29</v>
      </c>
    </row>
    <row r="38" customFormat="false" ht="15" hidden="false" customHeight="false" outlineLevel="0" collapsed="false">
      <c r="A38" s="3" t="s">
        <v>30</v>
      </c>
    </row>
    <row r="39" customFormat="false" ht="15" hidden="false" customHeight="false" outlineLevel="0" collapsed="false">
      <c r="A39" s="4" t="s">
        <v>31</v>
      </c>
    </row>
    <row r="40" customFormat="false" ht="15" hidden="false" customHeight="false" outlineLevel="0" collapsed="false">
      <c r="A40" s="4" t="s">
        <v>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17" min="17" style="0" width="52"/>
  </cols>
  <sheetData>
    <row r="1" customFormat="false" ht="17.35" hidden="false" customHeight="false" outlineLevel="0" collapsed="false">
      <c r="A1" s="1" t="s">
        <v>33</v>
      </c>
    </row>
    <row r="2" customFormat="false" ht="15" hidden="false" customHeight="false" outlineLevel="0" collapsed="false">
      <c r="A2" s="2" t="s">
        <v>34</v>
      </c>
    </row>
    <row r="4" customFormat="false" ht="15" hidden="false" customHeight="false" outlineLevel="0" collapsed="false">
      <c r="Q4" s="3" t="s">
        <v>35</v>
      </c>
    </row>
    <row r="5" customFormat="false" ht="15" hidden="false" customHeight="false" outlineLevel="0" collapsed="false">
      <c r="Q5" s="4" t="s">
        <v>36</v>
      </c>
    </row>
    <row r="6" customFormat="false" ht="15" hidden="false" customHeight="false" outlineLevel="0" collapsed="false">
      <c r="Q6" s="4" t="s">
        <v>37</v>
      </c>
    </row>
    <row r="7" customFormat="false" ht="15" hidden="false" customHeight="false" outlineLevel="0" collapsed="false">
      <c r="Q7" s="4" t="s">
        <v>38</v>
      </c>
    </row>
    <row r="8" customFormat="false" ht="15" hidden="false" customHeight="false" outlineLevel="0" collapsed="false">
      <c r="Q8" s="4"/>
    </row>
    <row r="9" customFormat="false" ht="15" hidden="false" customHeight="false" outlineLevel="0" collapsed="false">
      <c r="Q9" s="4" t="s">
        <v>39</v>
      </c>
    </row>
    <row r="10" customFormat="false" ht="15" hidden="false" customHeight="false" outlineLevel="0" collapsed="false">
      <c r="Q10" s="4" t="s">
        <v>40</v>
      </c>
    </row>
    <row r="11" customFormat="false" ht="15" hidden="false" customHeight="false" outlineLevel="0" collapsed="false">
      <c r="Q11" s="4" t="s">
        <v>41</v>
      </c>
    </row>
    <row r="12" customFormat="false" ht="15" hidden="false" customHeight="false" outlineLevel="0" collapsed="false">
      <c r="Q12" s="4" t="s">
        <v>42</v>
      </c>
    </row>
    <row r="13" customFormat="false" ht="15" hidden="false" customHeight="false" outlineLevel="0" collapsed="false">
      <c r="Q13" s="4" t="s">
        <v>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6"/>
    <col collapsed="false" customWidth="true" hidden="false" outlineLevel="0" max="3" min="3" style="0" width="78"/>
  </cols>
  <sheetData>
    <row r="1" customFormat="false" ht="17.35" hidden="false" customHeight="false" outlineLevel="0" collapsed="false">
      <c r="A1" s="1" t="s">
        <v>44</v>
      </c>
    </row>
    <row r="2" customFormat="false" ht="31.5" hidden="false" customHeight="true" outlineLevel="0" collapsed="false">
      <c r="A2" s="5" t="s">
        <v>45</v>
      </c>
      <c r="B2" s="5"/>
      <c r="C2" s="5"/>
      <c r="D2" s="5"/>
      <c r="E2" s="5"/>
      <c r="F2" s="5"/>
      <c r="G2" s="5"/>
      <c r="H2" s="5"/>
      <c r="I2" s="5"/>
      <c r="J2" s="5"/>
      <c r="K2" s="5"/>
      <c r="L2" s="5"/>
      <c r="M2" s="5"/>
      <c r="N2" s="5"/>
    </row>
    <row r="4" customFormat="false" ht="15" hidden="false" customHeight="false" outlineLevel="0" collapsed="false">
      <c r="A4" s="6" t="s">
        <v>46</v>
      </c>
      <c r="B4" s="7"/>
      <c r="C4" s="7"/>
    </row>
    <row r="5" customFormat="false" ht="15" hidden="false" customHeight="false" outlineLevel="0" collapsed="false">
      <c r="A5" s="4" t="s">
        <v>47</v>
      </c>
      <c r="B5" s="8" t="n">
        <v>1.2</v>
      </c>
      <c r="C5" s="2" t="s">
        <v>48</v>
      </c>
    </row>
    <row r="6" customFormat="false" ht="15" hidden="false" customHeight="false" outlineLevel="0" collapsed="false">
      <c r="A6" s="4" t="s">
        <v>49</v>
      </c>
      <c r="B6" s="9" t="n">
        <v>40</v>
      </c>
      <c r="C6" s="2" t="s">
        <v>50</v>
      </c>
    </row>
    <row r="7" customFormat="false" ht="15" hidden="false" customHeight="false" outlineLevel="0" collapsed="false">
      <c r="A7" s="4" t="s">
        <v>51</v>
      </c>
      <c r="B7" s="9" t="n">
        <v>9</v>
      </c>
      <c r="C7" s="2" t="s">
        <v>52</v>
      </c>
    </row>
    <row r="8" customFormat="false" ht="15" hidden="false" customHeight="false" outlineLevel="0" collapsed="false">
      <c r="A8" s="4" t="s">
        <v>53</v>
      </c>
      <c r="B8" s="9" t="n">
        <v>4</v>
      </c>
      <c r="C8" s="2" t="s">
        <v>54</v>
      </c>
    </row>
    <row r="9" customFormat="false" ht="15" hidden="false" customHeight="false" outlineLevel="0" collapsed="false">
      <c r="A9" s="4" t="s">
        <v>55</v>
      </c>
      <c r="B9" s="10" t="n">
        <v>0.035</v>
      </c>
      <c r="C9" s="2" t="s">
        <v>56</v>
      </c>
    </row>
    <row r="11" customFormat="false" ht="15" hidden="false" customHeight="false" outlineLevel="0" collapsed="false">
      <c r="A11" s="6" t="s">
        <v>57</v>
      </c>
      <c r="B11" s="7"/>
      <c r="C11" s="7"/>
    </row>
    <row r="12" customFormat="false" ht="15" hidden="false" customHeight="false" outlineLevel="0" collapsed="false">
      <c r="A12" s="4" t="s">
        <v>58</v>
      </c>
      <c r="B12" s="11" t="n">
        <v>125000</v>
      </c>
      <c r="C12" s="2" t="s">
        <v>59</v>
      </c>
    </row>
    <row r="13" customFormat="false" ht="15" hidden="false" customHeight="false" outlineLevel="0" collapsed="false">
      <c r="A13" s="4" t="s">
        <v>60</v>
      </c>
      <c r="B13" s="10" t="n">
        <v>0.22</v>
      </c>
      <c r="C13" s="2" t="s">
        <v>61</v>
      </c>
    </row>
    <row r="14" customFormat="false" ht="15" hidden="false" customHeight="false" outlineLevel="0" collapsed="false">
      <c r="A14" s="4" t="s">
        <v>62</v>
      </c>
      <c r="B14" s="10" t="n">
        <v>0.5</v>
      </c>
      <c r="C14" s="2" t="s">
        <v>63</v>
      </c>
    </row>
    <row r="15" customFormat="false" ht="15" hidden="false" customHeight="false" outlineLevel="0" collapsed="false">
      <c r="A15" s="4" t="s">
        <v>64</v>
      </c>
      <c r="B15" s="8" t="n">
        <v>1.1</v>
      </c>
      <c r="C15" s="2" t="s">
        <v>65</v>
      </c>
    </row>
    <row r="17" customFormat="false" ht="15" hidden="false" customHeight="false" outlineLevel="0" collapsed="false">
      <c r="A17" s="6" t="s">
        <v>66</v>
      </c>
      <c r="B17" s="7"/>
      <c r="C17" s="7"/>
    </row>
    <row r="18" customFormat="false" ht="15" hidden="false" customHeight="false" outlineLevel="0" collapsed="false">
      <c r="A18" s="4" t="s">
        <v>67</v>
      </c>
      <c r="B18" s="8" t="n">
        <v>8</v>
      </c>
      <c r="C18" s="2" t="s">
        <v>68</v>
      </c>
    </row>
    <row r="19" customFormat="false" ht="15" hidden="false" customHeight="false" outlineLevel="0" collapsed="false">
      <c r="A19" s="4" t="s">
        <v>69</v>
      </c>
      <c r="B19" s="8" t="n">
        <v>3</v>
      </c>
      <c r="C19" s="2" t="s">
        <v>70</v>
      </c>
    </row>
    <row r="20" customFormat="false" ht="15" hidden="false" customHeight="false" outlineLevel="0" collapsed="false">
      <c r="A20" s="4" t="s">
        <v>71</v>
      </c>
      <c r="B20" s="8" t="n">
        <v>1.6</v>
      </c>
      <c r="C20" s="2" t="s">
        <v>72</v>
      </c>
    </row>
    <row r="21" customFormat="false" ht="15" hidden="false" customHeight="false" outlineLevel="0" collapsed="false">
      <c r="A21" s="4" t="s">
        <v>73</v>
      </c>
      <c r="B21" s="8" t="n">
        <v>1</v>
      </c>
      <c r="C21" s="2" t="s">
        <v>74</v>
      </c>
    </row>
    <row r="23" customFormat="false" ht="15" hidden="false" customHeight="false" outlineLevel="0" collapsed="false">
      <c r="A23" s="6" t="s">
        <v>75</v>
      </c>
      <c r="B23" s="7"/>
      <c r="C23" s="7"/>
    </row>
    <row r="24" customFormat="false" ht="15" hidden="false" customHeight="false" outlineLevel="0" collapsed="false">
      <c r="A24" s="4" t="s">
        <v>76</v>
      </c>
      <c r="B24" s="10" t="n">
        <v>0.06</v>
      </c>
      <c r="C24" s="2" t="s">
        <v>77</v>
      </c>
    </row>
    <row r="25" customFormat="false" ht="15" hidden="false" customHeight="false" outlineLevel="0" collapsed="false">
      <c r="A25" s="4" t="s">
        <v>78</v>
      </c>
      <c r="B25" s="10" t="n">
        <v>0.04</v>
      </c>
      <c r="C25" s="2" t="s">
        <v>72</v>
      </c>
    </row>
    <row r="26" customFormat="false" ht="15" hidden="false" customHeight="false" outlineLevel="0" collapsed="false">
      <c r="A26" s="4" t="s">
        <v>79</v>
      </c>
      <c r="B26" s="10" t="n">
        <v>0.015</v>
      </c>
      <c r="C26" s="2" t="s">
        <v>72</v>
      </c>
    </row>
    <row r="27" customFormat="false" ht="15" hidden="false" customHeight="false" outlineLevel="0" collapsed="false">
      <c r="A27" s="4" t="s">
        <v>80</v>
      </c>
      <c r="B27" s="10" t="n">
        <v>0.003</v>
      </c>
      <c r="C27" s="2" t="s">
        <v>81</v>
      </c>
    </row>
    <row r="29" customFormat="false" ht="15" hidden="false" customHeight="false" outlineLevel="0" collapsed="false">
      <c r="A29" s="6" t="s">
        <v>82</v>
      </c>
      <c r="B29" s="7"/>
      <c r="C29" s="7"/>
    </row>
    <row r="30" customFormat="false" ht="15" hidden="false" customHeight="false" outlineLevel="0" collapsed="false">
      <c r="A30" s="4" t="s">
        <v>83</v>
      </c>
      <c r="B30" s="10" t="n">
        <v>0.45</v>
      </c>
      <c r="C30" s="2" t="s">
        <v>84</v>
      </c>
    </row>
    <row r="31" customFormat="false" ht="15" hidden="false" customHeight="false" outlineLevel="0" collapsed="false">
      <c r="A31" s="4" t="s">
        <v>85</v>
      </c>
      <c r="B31" s="10" t="n">
        <v>0.35</v>
      </c>
      <c r="C31" s="2" t="s">
        <v>86</v>
      </c>
    </row>
    <row r="32" customFormat="false" ht="15" hidden="false" customHeight="false" outlineLevel="0" collapsed="false">
      <c r="A32" s="4" t="s">
        <v>87</v>
      </c>
      <c r="B32" s="10" t="n">
        <v>0.15</v>
      </c>
      <c r="C32" s="2" t="s">
        <v>88</v>
      </c>
    </row>
    <row r="33" customFormat="false" ht="15" hidden="false" customHeight="false" outlineLevel="0" collapsed="false">
      <c r="A33" s="4" t="s">
        <v>89</v>
      </c>
      <c r="B33" s="10" t="n">
        <v>0.05</v>
      </c>
      <c r="C33" s="2" t="s">
        <v>90</v>
      </c>
    </row>
    <row r="34" customFormat="false" ht="15" hidden="false" customHeight="false" outlineLevel="0" collapsed="false">
      <c r="A34" s="4" t="s">
        <v>91</v>
      </c>
      <c r="B34" s="12" t="n">
        <f aca="false">$B$30+$B$31+$B$32+$B$33</f>
        <v>1</v>
      </c>
      <c r="C34" s="2" t="s">
        <v>92</v>
      </c>
    </row>
    <row r="36" customFormat="false" ht="15" hidden="false" customHeight="false" outlineLevel="0" collapsed="false">
      <c r="A36" s="6" t="s">
        <v>93</v>
      </c>
      <c r="B36" s="7"/>
      <c r="C36" s="7"/>
    </row>
    <row r="37" customFormat="false" ht="15" hidden="false" customHeight="false" outlineLevel="0" collapsed="false">
      <c r="A37" s="4" t="s">
        <v>94</v>
      </c>
      <c r="B37" s="9" t="s">
        <v>95</v>
      </c>
      <c r="C37" s="2" t="s">
        <v>96</v>
      </c>
    </row>
    <row r="38" customFormat="false" ht="15" hidden="false" customHeight="false" outlineLevel="0" collapsed="false">
      <c r="A38" s="4" t="s">
        <v>97</v>
      </c>
      <c r="B38" s="11" t="n">
        <v>10000000</v>
      </c>
      <c r="C38" s="2" t="s">
        <v>98</v>
      </c>
    </row>
    <row r="39" customFormat="false" ht="15" hidden="false" customHeight="false" outlineLevel="0" collapsed="false">
      <c r="A39" s="4" t="s">
        <v>99</v>
      </c>
      <c r="B39" s="9" t="s">
        <v>100</v>
      </c>
      <c r="C39" s="2" t="s">
        <v>101</v>
      </c>
    </row>
    <row r="40" customFormat="false" ht="15" hidden="false" customHeight="false" outlineLevel="0" collapsed="false">
      <c r="A40" s="4" t="s">
        <v>102</v>
      </c>
      <c r="B40" s="11" t="n">
        <v>15000000</v>
      </c>
      <c r="C40" s="2" t="s">
        <v>103</v>
      </c>
    </row>
    <row r="41" customFormat="false" ht="15" hidden="false" customHeight="false" outlineLevel="0" collapsed="false">
      <c r="A41" s="4" t="s">
        <v>104</v>
      </c>
      <c r="B41" s="9" t="s">
        <v>105</v>
      </c>
      <c r="C41" s="2" t="s">
        <v>106</v>
      </c>
    </row>
    <row r="42" customFormat="false" ht="15" hidden="false" customHeight="false" outlineLevel="0" collapsed="false">
      <c r="A42" s="4" t="s">
        <v>107</v>
      </c>
      <c r="B42" s="13" t="n">
        <f aca="false">B38/IFERROR(INDEX(FeeSchedule!$F$6:$F$34,MATCH(B37,FeeSchedule!$B$6:$B$34,0)),SUMIFS(FeeSchedule!$F$6:$F$34,FeeSchedule!$A$6:$A$34,B37)*$B$15)</f>
        <v>1058239.31688971</v>
      </c>
      <c r="C42" s="2" t="s">
        <v>108</v>
      </c>
    </row>
    <row r="43" customFormat="false" ht="15" hidden="false" customHeight="false" outlineLevel="0" collapsed="false">
      <c r="A43" s="4" t="s">
        <v>109</v>
      </c>
      <c r="B43" s="13" t="n">
        <f aca="false">B40/IFERROR(INDEX(FeeSchedule!$F$6:$F$34,MATCH(B39,FeeSchedule!$B$6:$B$34,0)),SUMIFS(FeeSchedule!$F$6:$F$34,FeeSchedule!$A$6:$A$34,B39)*$B$15)</f>
        <v>12350370.3621705</v>
      </c>
      <c r="C43" s="2" t="s">
        <v>108</v>
      </c>
    </row>
    <row r="44" customFormat="false" ht="15" hidden="false" customHeight="false" outlineLevel="0" collapsed="false">
      <c r="A44" s="4" t="s">
        <v>110</v>
      </c>
      <c r="B44" s="13" t="n">
        <f aca="false">IF($B$41="B",$B$43,$B$42)</f>
        <v>1058239.31688971</v>
      </c>
      <c r="C44" s="2" t="s">
        <v>108</v>
      </c>
    </row>
    <row r="46" customFormat="false" ht="15" hidden="false" customHeight="false" outlineLevel="0" collapsed="false">
      <c r="A46" s="6" t="s">
        <v>111</v>
      </c>
      <c r="B46" s="7"/>
      <c r="C46" s="7"/>
    </row>
    <row r="47" customFormat="false" ht="15" hidden="false" customHeight="false" outlineLevel="0" collapsed="false">
      <c r="A47" s="4" t="s">
        <v>112</v>
      </c>
      <c r="B47" s="10" t="n">
        <v>0.5</v>
      </c>
      <c r="C47" s="2" t="s">
        <v>113</v>
      </c>
    </row>
    <row r="48" customFormat="false" ht="15" hidden="false" customHeight="false" outlineLevel="0" collapsed="false">
      <c r="A48" s="4" t="s">
        <v>114</v>
      </c>
      <c r="B48" s="10" t="n">
        <v>0.75</v>
      </c>
    </row>
    <row r="49" customFormat="false" ht="15" hidden="false" customHeight="false" outlineLevel="0" collapsed="false">
      <c r="A49" s="4" t="s">
        <v>115</v>
      </c>
      <c r="B49" s="8" t="n">
        <v>1</v>
      </c>
    </row>
    <row r="50" customFormat="false" ht="15" hidden="false" customHeight="false" outlineLevel="0" collapsed="false">
      <c r="A50" s="4" t="s">
        <v>116</v>
      </c>
      <c r="B50" s="8" t="n">
        <v>1</v>
      </c>
    </row>
    <row r="53" customFormat="false" ht="15" hidden="false" customHeight="false" outlineLevel="0" collapsed="false">
      <c r="A53" s="6" t="s">
        <v>117</v>
      </c>
      <c r="B53" s="7"/>
      <c r="C53" s="7"/>
    </row>
    <row r="54" customFormat="false" ht="15" hidden="false" customHeight="false" outlineLevel="0" collapsed="false">
      <c r="A54" s="4" t="s">
        <v>118</v>
      </c>
      <c r="B54" s="13" t="n">
        <f aca="false">FeeSchedule!$L$35</f>
        <v>105823931.688971</v>
      </c>
      <c r="C54" s="2" t="s">
        <v>119</v>
      </c>
    </row>
    <row r="55" customFormat="false" ht="15" hidden="false" customHeight="false" outlineLevel="0" collapsed="false">
      <c r="A55" s="4" t="s">
        <v>120</v>
      </c>
      <c r="B55" s="14" t="n">
        <f aca="false">MIN(Economics!$L$6:$L$34)</f>
        <v>1.19024964408017</v>
      </c>
      <c r="C55" s="2" t="s">
        <v>121</v>
      </c>
    </row>
    <row r="56" customFormat="false" ht="15" hidden="false" customHeight="false" outlineLevel="0" collapsed="false">
      <c r="A56" s="4" t="s">
        <v>122</v>
      </c>
      <c r="B56" s="14" t="n">
        <f aca="false">MEDIAN(Economics!$L$6:$L$34)</f>
        <v>2.71511550068247</v>
      </c>
      <c r="C56" s="2" t="s">
        <v>123</v>
      </c>
    </row>
    <row r="57" customFormat="false" ht="15" hidden="false" customHeight="false" outlineLevel="0" collapsed="false">
      <c r="A57" s="4" t="s">
        <v>124</v>
      </c>
      <c r="B57" s="14" t="n">
        <f aca="false">MAX(Economics!$L$6:$L$34)</f>
        <v>7.81705594982499</v>
      </c>
      <c r="C57" s="2" t="s">
        <v>125</v>
      </c>
    </row>
    <row r="58" customFormat="false" ht="15" hidden="false" customHeight="false" outlineLevel="0" collapsed="false">
      <c r="A58" s="4" t="s">
        <v>126</v>
      </c>
      <c r="B58" s="15" t="n">
        <f aca="false">IFERROR(MAX(Economics!$L$6:$L$34)/MIN(Economics!$L$6:$L$34),0)</f>
        <v>6.56757680097108</v>
      </c>
      <c r="C58" s="2" t="s">
        <v>127</v>
      </c>
    </row>
    <row r="59" customFormat="false" ht="15" hidden="false" customHeight="false" outlineLevel="0" collapsed="false">
      <c r="A59" s="4" t="s">
        <v>128</v>
      </c>
      <c r="B59" s="13" t="n">
        <f aca="false">Economics!$I$35</f>
        <v>1191075936.41087</v>
      </c>
      <c r="C59" s="2" t="s">
        <v>129</v>
      </c>
    </row>
    <row r="60" customFormat="false" ht="15" hidden="false" customHeight="false" outlineLevel="0" collapsed="false">
      <c r="A60" s="4" t="s">
        <v>130</v>
      </c>
      <c r="B60" s="13" t="n">
        <f aca="false">Economics!$K$35</f>
        <v>248808714.54927</v>
      </c>
      <c r="C60" s="2" t="s">
        <v>131</v>
      </c>
    </row>
  </sheetData>
  <mergeCells count="1">
    <mergeCell ref="A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4"/>
    <col collapsed="false" customWidth="true" hidden="false" outlineLevel="0" max="3" min="3" style="0" width="10"/>
    <col collapsed="false" customWidth="true" hidden="false" outlineLevel="0" max="5" min="4" style="0" width="12"/>
    <col collapsed="false" customWidth="true" hidden="false" outlineLevel="0" max="6" min="6" style="0" width="9"/>
    <col collapsed="false" customWidth="true" hidden="false" outlineLevel="0" max="7" min="7" style="0" width="10"/>
    <col collapsed="false" customWidth="true" hidden="false" outlineLevel="0" max="8" min="8" style="0" width="8"/>
    <col collapsed="false" customWidth="true" hidden="false" outlineLevel="0" max="9" min="9" style="0" width="10"/>
    <col collapsed="false" customWidth="true" hidden="false" outlineLevel="0" max="10" min="10" style="0" width="11"/>
    <col collapsed="false" customWidth="true" hidden="false" outlineLevel="0" max="11" min="11" style="0" width="10"/>
    <col collapsed="false" customWidth="true" hidden="false" outlineLevel="0" max="15" min="12" style="0" width="12"/>
  </cols>
  <sheetData>
    <row r="1" customFormat="false" ht="17.35" hidden="false" customHeight="false" outlineLevel="0" collapsed="false">
      <c r="A1" s="1" t="s">
        <v>132</v>
      </c>
    </row>
    <row r="2" customFormat="false" ht="31.5" hidden="false" customHeight="true" outlineLevel="0" collapsed="false">
      <c r="A2" s="5" t="s">
        <v>133</v>
      </c>
      <c r="B2" s="5"/>
      <c r="C2" s="5"/>
      <c r="D2" s="5"/>
      <c r="E2" s="5"/>
      <c r="F2" s="5"/>
      <c r="G2" s="5"/>
      <c r="H2" s="5"/>
      <c r="I2" s="5"/>
      <c r="J2" s="5"/>
      <c r="K2" s="5"/>
      <c r="L2" s="5"/>
      <c r="M2" s="5"/>
      <c r="N2" s="5"/>
    </row>
    <row r="4" customFormat="false" ht="30" hidden="false" customHeight="true" outlineLevel="0" collapsed="false">
      <c r="A4" s="16" t="s">
        <v>134</v>
      </c>
      <c r="B4" s="16" t="s">
        <v>135</v>
      </c>
      <c r="C4" s="16" t="s">
        <v>136</v>
      </c>
      <c r="D4" s="16" t="s">
        <v>137</v>
      </c>
      <c r="E4" s="16" t="s">
        <v>138</v>
      </c>
      <c r="F4" s="16" t="s">
        <v>139</v>
      </c>
      <c r="G4" s="16" t="s">
        <v>140</v>
      </c>
      <c r="H4" s="16" t="s">
        <v>141</v>
      </c>
      <c r="I4" s="16" t="s">
        <v>142</v>
      </c>
      <c r="J4" s="16" t="s">
        <v>143</v>
      </c>
      <c r="K4" s="16" t="s">
        <v>144</v>
      </c>
      <c r="L4" s="16" t="s">
        <v>145</v>
      </c>
      <c r="M4" s="16" t="s">
        <v>146</v>
      </c>
      <c r="N4" s="16" t="s">
        <v>147</v>
      </c>
      <c r="O4" s="16" t="s">
        <v>148</v>
      </c>
    </row>
    <row r="5" customFormat="false" ht="61.5" hidden="false" customHeight="true" outlineLevel="0" collapsed="false">
      <c r="A5" s="17"/>
      <c r="B5" s="17" t="s">
        <v>149</v>
      </c>
      <c r="C5" s="17" t="s">
        <v>150</v>
      </c>
      <c r="D5" s="17" t="s">
        <v>151</v>
      </c>
      <c r="E5" s="17" t="s">
        <v>152</v>
      </c>
      <c r="F5" s="17" t="s">
        <v>153</v>
      </c>
      <c r="G5" s="17" t="s">
        <v>154</v>
      </c>
      <c r="H5" s="17" t="s">
        <v>155</v>
      </c>
      <c r="I5" s="17" t="s">
        <v>156</v>
      </c>
      <c r="J5" s="17" t="s">
        <v>157</v>
      </c>
      <c r="K5" s="17" t="s">
        <v>158</v>
      </c>
      <c r="L5" s="17" t="s">
        <v>159</v>
      </c>
      <c r="M5" s="17" t="s">
        <v>160</v>
      </c>
      <c r="N5" s="17" t="s">
        <v>161</v>
      </c>
      <c r="O5" s="17" t="s">
        <v>162</v>
      </c>
    </row>
    <row r="6" customFormat="false" ht="15" hidden="false" customHeight="false" outlineLevel="0" collapsed="false">
      <c r="A6" s="18" t="s">
        <v>163</v>
      </c>
      <c r="B6" s="18" t="s">
        <v>164</v>
      </c>
      <c r="C6" s="19" t="n">
        <v>139</v>
      </c>
      <c r="D6" s="19" t="n">
        <v>2875315</v>
      </c>
      <c r="E6" s="19" t="n">
        <v>3921742</v>
      </c>
      <c r="F6" s="20" t="n">
        <v>5.9</v>
      </c>
      <c r="G6" s="21" t="n">
        <v>0.35</v>
      </c>
      <c r="H6" s="20" t="s">
        <v>165</v>
      </c>
      <c r="I6" s="22" t="n">
        <f aca="false">(E6/D6)^(1/6)-1</f>
        <v>0.0530902653562315</v>
      </c>
      <c r="J6" s="22" t="n">
        <f aca="false">MAX(0,MIN(Assumptions!$B$9,I6))</f>
        <v>0.035</v>
      </c>
      <c r="K6" s="23" t="n">
        <f aca="false">G6*Assumptions!$B$5+(1-G6)/Assumptions!$B$6</f>
        <v>0.43625</v>
      </c>
      <c r="L6" s="24" t="n">
        <f aca="false">E6*(1+J6)^3/F6</f>
        <v>736967.026531907</v>
      </c>
      <c r="M6" s="24" t="n">
        <f aca="false">E6*(1+J6)^-5/F6*K6</f>
        <v>244152.23187254</v>
      </c>
      <c r="N6" s="24" t="n">
        <f aca="false">L6*K6</f>
        <v>321501.865324544</v>
      </c>
      <c r="O6" s="24" t="n">
        <f aca="false">E6*(1+J6)^7/F6*K6</f>
        <v>368930.785203755</v>
      </c>
    </row>
    <row r="7" customFormat="false" ht="15" hidden="false" customHeight="false" outlineLevel="0" collapsed="false">
      <c r="A7" s="18" t="s">
        <v>163</v>
      </c>
      <c r="B7" s="18" t="s">
        <v>166</v>
      </c>
      <c r="C7" s="19" t="n">
        <v>69</v>
      </c>
      <c r="D7" s="19" t="n">
        <v>2971382</v>
      </c>
      <c r="E7" s="19" t="n">
        <v>3822325</v>
      </c>
      <c r="F7" s="20" t="n">
        <v>5.8</v>
      </c>
      <c r="G7" s="21" t="n">
        <v>0.45</v>
      </c>
      <c r="H7" s="20" t="s">
        <v>167</v>
      </c>
      <c r="I7" s="22" t="n">
        <f aca="false">(E7/D7)^(1/6)-1</f>
        <v>0.0428652280156676</v>
      </c>
      <c r="J7" s="22" t="n">
        <f aca="false">MAX(0,MIN(Assumptions!$B$9,I7))</f>
        <v>0.035</v>
      </c>
      <c r="K7" s="23" t="n">
        <f aca="false">G7*Assumptions!$B$5+(1-G7)/Assumptions!$B$6</f>
        <v>0.55375</v>
      </c>
      <c r="L7" s="24" t="n">
        <f aca="false">E7*(1+J7)^3/F7</f>
        <v>730668.974406789</v>
      </c>
      <c r="M7" s="24" t="n">
        <f aca="false">E7*(1+J7)^-5/F7*K7</f>
        <v>307263.948849255</v>
      </c>
      <c r="N7" s="24" t="n">
        <f aca="false">L7*K7</f>
        <v>404607.944577759</v>
      </c>
      <c r="O7" s="24" t="n">
        <f aca="false">E7*(1+J7)^7/F7*K7</f>
        <v>464296.922638584</v>
      </c>
    </row>
    <row r="8" customFormat="false" ht="15" hidden="false" customHeight="false" outlineLevel="0" collapsed="false">
      <c r="A8" s="18" t="s">
        <v>163</v>
      </c>
      <c r="B8" s="18" t="s">
        <v>168</v>
      </c>
      <c r="C8" s="19" t="n">
        <v>108</v>
      </c>
      <c r="D8" s="19" t="n">
        <v>2577556</v>
      </c>
      <c r="E8" s="19" t="n">
        <v>3128971</v>
      </c>
      <c r="F8" s="20" t="n">
        <v>6.3</v>
      </c>
      <c r="G8" s="21" t="n">
        <v>0.6</v>
      </c>
      <c r="H8" s="20" t="s">
        <v>167</v>
      </c>
      <c r="I8" s="22" t="n">
        <f aca="false">(E8/D8)^(1/6)-1</f>
        <v>0.0328380714401628</v>
      </c>
      <c r="J8" s="22" t="n">
        <f aca="false">MAX(0,MIN(Assumptions!$B$9,I8))</f>
        <v>0.0328380714401628</v>
      </c>
      <c r="K8" s="23" t="n">
        <f aca="false">G8*Assumptions!$B$5+(1-G8)/Assumptions!$B$6</f>
        <v>0.73</v>
      </c>
      <c r="L8" s="24" t="n">
        <f aca="false">E8*(1+J8)^3/F8</f>
        <v>547214.633670204</v>
      </c>
      <c r="M8" s="24" t="n">
        <f aca="false">E8*(1+J8)^-5/F8*K8</f>
        <v>308476.907411172</v>
      </c>
      <c r="N8" s="24" t="n">
        <f aca="false">L8*K8</f>
        <v>399466.682579249</v>
      </c>
      <c r="O8" s="24" t="n">
        <f aca="false">E8*(1+J8)^7/F8*K8</f>
        <v>454579.153164919</v>
      </c>
    </row>
    <row r="9" customFormat="false" ht="15" hidden="false" customHeight="false" outlineLevel="0" collapsed="false">
      <c r="A9" s="18" t="s">
        <v>163</v>
      </c>
      <c r="B9" s="18" t="s">
        <v>169</v>
      </c>
      <c r="C9" s="19" t="n">
        <v>370</v>
      </c>
      <c r="D9" s="19" t="n">
        <v>2077228</v>
      </c>
      <c r="E9" s="19" t="n">
        <v>2679380</v>
      </c>
      <c r="F9" s="20" t="n">
        <v>5.7</v>
      </c>
      <c r="G9" s="21" t="n">
        <v>0.7</v>
      </c>
      <c r="H9" s="20" t="s">
        <v>167</v>
      </c>
      <c r="I9" s="22" t="n">
        <f aca="false">(E9/D9)^(1/6)-1</f>
        <v>0.0433379964508134</v>
      </c>
      <c r="J9" s="22" t="n">
        <f aca="false">MAX(0,MIN(Assumptions!$B$9,I9))</f>
        <v>0.035</v>
      </c>
      <c r="K9" s="23" t="n">
        <f aca="false">G9*Assumptions!$B$5+(1-G9)/Assumptions!$B$6</f>
        <v>0.8475</v>
      </c>
      <c r="L9" s="24" t="n">
        <f aca="false">E9*(1+J9)^3/F9</f>
        <v>521171.315775</v>
      </c>
      <c r="M9" s="24" t="n">
        <f aca="false">E9*(1+J9)^-5/F9*K9</f>
        <v>335426.533172849</v>
      </c>
      <c r="N9" s="24" t="n">
        <f aca="false">L9*K9</f>
        <v>441692.690119312</v>
      </c>
      <c r="O9" s="24" t="n">
        <f aca="false">E9*(1+J9)^7/F9*K9</f>
        <v>506852.521119841</v>
      </c>
    </row>
    <row r="10" customFormat="false" ht="15" hidden="false" customHeight="false" outlineLevel="0" collapsed="false">
      <c r="A10" s="18" t="s">
        <v>163</v>
      </c>
      <c r="B10" s="18" t="s">
        <v>170</v>
      </c>
      <c r="C10" s="19" t="n">
        <v>2160</v>
      </c>
      <c r="D10" s="19" t="n">
        <v>1924346</v>
      </c>
      <c r="E10" s="19" t="n">
        <v>2432248</v>
      </c>
      <c r="F10" s="20" t="n">
        <v>5.7</v>
      </c>
      <c r="G10" s="21" t="n">
        <v>0.75</v>
      </c>
      <c r="H10" s="20" t="s">
        <v>165</v>
      </c>
      <c r="I10" s="22" t="n">
        <f aca="false">(E10/D10)^(1/6)-1</f>
        <v>0.0398103011813669</v>
      </c>
      <c r="J10" s="22" t="n">
        <f aca="false">MAX(0,MIN(Assumptions!$B$9,I10))</f>
        <v>0.035</v>
      </c>
      <c r="K10" s="23" t="n">
        <f aca="false">G10*Assumptions!$B$5+(1-G10)/Assumptions!$B$6</f>
        <v>0.90625</v>
      </c>
      <c r="L10" s="24" t="n">
        <f aca="false">E10*(1+J10)^3/F10</f>
        <v>473101.198953158</v>
      </c>
      <c r="M10" s="24" t="n">
        <f aca="false">E10*(1+J10)^-5/F10*K10</f>
        <v>325596.156706217</v>
      </c>
      <c r="N10" s="24" t="n">
        <f aca="false">L10*K10</f>
        <v>428747.961551299</v>
      </c>
      <c r="O10" s="24" t="n">
        <f aca="false">E10*(1+J10)^7/F10*K10</f>
        <v>491998.147351199</v>
      </c>
    </row>
    <row r="11" customFormat="false" ht="15" hidden="false" customHeight="false" outlineLevel="0" collapsed="false">
      <c r="A11" s="18" t="s">
        <v>163</v>
      </c>
      <c r="B11" s="18" t="s">
        <v>171</v>
      </c>
      <c r="C11" s="19" t="n">
        <v>122</v>
      </c>
      <c r="D11" s="19" t="n">
        <v>1769230</v>
      </c>
      <c r="E11" s="19" t="n">
        <v>2329764</v>
      </c>
      <c r="F11" s="20" t="n">
        <v>5.4</v>
      </c>
      <c r="G11" s="21" t="n">
        <v>0.55</v>
      </c>
      <c r="H11" s="20" t="s">
        <v>105</v>
      </c>
      <c r="I11" s="22" t="n">
        <f aca="false">(E11/D11)^(1/6)-1</f>
        <v>0.0469387452907595</v>
      </c>
      <c r="J11" s="22" t="n">
        <f aca="false">MAX(0,MIN(Assumptions!$B$9,I11))</f>
        <v>0.035</v>
      </c>
      <c r="K11" s="23" t="n">
        <f aca="false">G11*Assumptions!$B$5+(1-G11)/Assumptions!$B$6</f>
        <v>0.67125</v>
      </c>
      <c r="L11" s="24" t="n">
        <f aca="false">E11*(1+J11)^3/F11</f>
        <v>478342.7761725</v>
      </c>
      <c r="M11" s="24" t="n">
        <f aca="false">E11*(1+J11)^-5/F11*K11</f>
        <v>243837.625268905</v>
      </c>
      <c r="N11" s="24" t="n">
        <f aca="false">L11*K11</f>
        <v>321087.588505791</v>
      </c>
      <c r="O11" s="24" t="n">
        <f aca="false">E11*(1+J11)^7/F11*K11</f>
        <v>368455.39302561</v>
      </c>
    </row>
    <row r="12" customFormat="false" ht="15" hidden="false" customHeight="false" outlineLevel="0" collapsed="false">
      <c r="A12" s="18" t="s">
        <v>163</v>
      </c>
      <c r="B12" s="18" t="s">
        <v>172</v>
      </c>
      <c r="C12" s="19" t="n">
        <v>559</v>
      </c>
      <c r="D12" s="19" t="n">
        <v>1829837</v>
      </c>
      <c r="E12" s="19" t="n">
        <v>2068451</v>
      </c>
      <c r="F12" s="20" t="n">
        <v>6.4</v>
      </c>
      <c r="G12" s="21" t="n">
        <v>0.7</v>
      </c>
      <c r="H12" s="20" t="s">
        <v>167</v>
      </c>
      <c r="I12" s="22" t="n">
        <f aca="false">(E12/D12)^(1/6)-1</f>
        <v>0.0206389516430858</v>
      </c>
      <c r="J12" s="22" t="n">
        <f aca="false">MAX(0,MIN(Assumptions!$B$9,I12))</f>
        <v>0.0206389516430858</v>
      </c>
      <c r="K12" s="23" t="n">
        <f aca="false">G12*Assumptions!$B$5+(1-G12)/Assumptions!$B$6</f>
        <v>0.8475</v>
      </c>
      <c r="L12" s="24" t="n">
        <f aca="false">E12*(1+J12)^3/F12</f>
        <v>343622.568232996</v>
      </c>
      <c r="M12" s="24" t="n">
        <f aca="false">E12*(1+J12)^-5/F12*K12</f>
        <v>247311.480071981</v>
      </c>
      <c r="N12" s="24" t="n">
        <f aca="false">L12*K12</f>
        <v>291220.126577464</v>
      </c>
      <c r="O12" s="24" t="n">
        <f aca="false">E12*(1+J12)^7/F12*K12</f>
        <v>316016.632705737</v>
      </c>
    </row>
    <row r="13" customFormat="false" ht="15" hidden="false" customHeight="false" outlineLevel="0" collapsed="false">
      <c r="A13" s="18" t="s">
        <v>173</v>
      </c>
      <c r="B13" s="18" t="s">
        <v>174</v>
      </c>
      <c r="C13" s="19" t="n">
        <v>214</v>
      </c>
      <c r="D13" s="19" t="n">
        <v>3644787</v>
      </c>
      <c r="E13" s="19" t="n">
        <v>4123354</v>
      </c>
      <c r="F13" s="20" t="n">
        <v>6.5</v>
      </c>
      <c r="G13" s="21" t="n">
        <v>0.75</v>
      </c>
      <c r="H13" s="20" t="s">
        <v>167</v>
      </c>
      <c r="I13" s="22" t="n">
        <f aca="false">(E13/D13)^(1/6)-1</f>
        <v>0.0207743409255041</v>
      </c>
      <c r="J13" s="22" t="n">
        <f aca="false">MAX(0,MIN(Assumptions!$B$9,I13))</f>
        <v>0.0207743409255041</v>
      </c>
      <c r="K13" s="23" t="n">
        <f aca="false">G13*Assumptions!$B$5+(1-G13)/Assumptions!$B$6</f>
        <v>0.90625</v>
      </c>
      <c r="L13" s="24" t="n">
        <f aca="false">E13*(1+J13)^3/F13</f>
        <v>674724.52946958</v>
      </c>
      <c r="M13" s="24" t="n">
        <f aca="false">E13*(1+J13)^-5/F13*K13</f>
        <v>518724.261463589</v>
      </c>
      <c r="N13" s="24" t="n">
        <f aca="false">L13*K13</f>
        <v>611469.104831807</v>
      </c>
      <c r="O13" s="24" t="n">
        <f aca="false">E13*(1+J13)^7/F13*K13</f>
        <v>663885.980408717</v>
      </c>
    </row>
    <row r="14" customFormat="false" ht="15" hidden="false" customHeight="false" outlineLevel="0" collapsed="false">
      <c r="A14" s="18" t="s">
        <v>173</v>
      </c>
      <c r="B14" s="18" t="s">
        <v>175</v>
      </c>
      <c r="C14" s="19" t="n">
        <v>353</v>
      </c>
      <c r="D14" s="19" t="n">
        <v>2712398</v>
      </c>
      <c r="E14" s="19" t="n">
        <v>3244906</v>
      </c>
      <c r="F14" s="20" t="n">
        <v>6.5</v>
      </c>
      <c r="G14" s="21" t="n">
        <v>0.7</v>
      </c>
      <c r="H14" s="20" t="s">
        <v>165</v>
      </c>
      <c r="I14" s="22" t="n">
        <f aca="false">(E14/D14)^(1/6)-1</f>
        <v>0.0303262963060262</v>
      </c>
      <c r="J14" s="22" t="n">
        <f aca="false">MAX(0,MIN(Assumptions!$B$9,I14))</f>
        <v>0.0303262963060262</v>
      </c>
      <c r="K14" s="23" t="n">
        <f aca="false">G14*Assumptions!$B$5+(1-G14)/Assumptions!$B$6</f>
        <v>0.8475</v>
      </c>
      <c r="L14" s="24" t="n">
        <f aca="false">E14*(1+J14)^3/F14</f>
        <v>546025.740269829</v>
      </c>
      <c r="M14" s="24" t="n">
        <f aca="false">E14*(1+J14)^-5/F14*K14</f>
        <v>364380.015410319</v>
      </c>
      <c r="N14" s="24" t="n">
        <f aca="false">L14*K14</f>
        <v>462756.81487868</v>
      </c>
      <c r="O14" s="24" t="n">
        <f aca="false">E14*(1+J14)^7/F14*K14</f>
        <v>521497.174640964</v>
      </c>
    </row>
    <row r="15" customFormat="false" ht="15" hidden="false" customHeight="false" outlineLevel="0" collapsed="false">
      <c r="A15" s="18" t="s">
        <v>173</v>
      </c>
      <c r="B15" s="18" t="s">
        <v>176</v>
      </c>
      <c r="C15" s="19" t="n">
        <v>272</v>
      </c>
      <c r="D15" s="19" t="n">
        <v>2281557</v>
      </c>
      <c r="E15" s="19" t="n">
        <v>2670140</v>
      </c>
      <c r="F15" s="20" t="n">
        <v>6.3</v>
      </c>
      <c r="G15" s="21" t="n">
        <v>0.75</v>
      </c>
      <c r="H15" s="20" t="s">
        <v>167</v>
      </c>
      <c r="I15" s="22" t="n">
        <f aca="false">(E15/D15)^(1/6)-1</f>
        <v>0.0265586928413235</v>
      </c>
      <c r="J15" s="22" t="n">
        <f aca="false">MAX(0,MIN(Assumptions!$B$9,I15))</f>
        <v>0.0265586928413235</v>
      </c>
      <c r="K15" s="23" t="n">
        <f aca="false">G15*Assumptions!$B$5+(1-G15)/Assumptions!$B$6</f>
        <v>0.90625</v>
      </c>
      <c r="L15" s="24" t="n">
        <f aca="false">E15*(1+J15)^3/F15</f>
        <v>458505.804560298</v>
      </c>
      <c r="M15" s="24" t="n">
        <f aca="false">E15*(1+J15)^-5/F15*K15</f>
        <v>336916.731028404</v>
      </c>
      <c r="N15" s="24" t="n">
        <f aca="false">L15*K15</f>
        <v>415520.88538277</v>
      </c>
      <c r="O15" s="24" t="n">
        <f aca="false">E15*(1+J15)^7/F15*K15</f>
        <v>461453.556357321</v>
      </c>
    </row>
    <row r="16" customFormat="false" ht="15" hidden="false" customHeight="false" outlineLevel="0" collapsed="false">
      <c r="A16" s="18" t="s">
        <v>173</v>
      </c>
      <c r="B16" s="18" t="s">
        <v>177</v>
      </c>
      <c r="C16" s="19" t="n">
        <v>466</v>
      </c>
      <c r="D16" s="19" t="n">
        <v>1632702</v>
      </c>
      <c r="E16" s="19" t="n">
        <v>1885098</v>
      </c>
      <c r="F16" s="20" t="n">
        <v>6.3</v>
      </c>
      <c r="G16" s="21" t="n">
        <v>0.85</v>
      </c>
      <c r="H16" s="20" t="s">
        <v>105</v>
      </c>
      <c r="I16" s="22" t="n">
        <f aca="false">(E16/D16)^(1/6)-1</f>
        <v>0.0242465300441175</v>
      </c>
      <c r="J16" s="22" t="n">
        <f aca="false">MAX(0,MIN(Assumptions!$B$9,I16))</f>
        <v>0.0242465300441175</v>
      </c>
      <c r="K16" s="23" t="n">
        <f aca="false">G16*Assumptions!$B$5+(1-G16)/Assumptions!$B$6</f>
        <v>1.02375</v>
      </c>
      <c r="L16" s="24" t="n">
        <f aca="false">E16*(1+J16)^3/F16</f>
        <v>321519.18118427</v>
      </c>
      <c r="M16" s="24" t="n">
        <f aca="false">E16*(1+J16)^-5/F16*K16</f>
        <v>271747.020690615</v>
      </c>
      <c r="N16" s="24" t="n">
        <f aca="false">L16*K16</f>
        <v>329155.261737397</v>
      </c>
      <c r="O16" s="24" t="n">
        <f aca="false">E16*(1+J16)^7/F16*K16</f>
        <v>362258.685761289</v>
      </c>
    </row>
    <row r="17" customFormat="false" ht="15" hidden="false" customHeight="false" outlineLevel="0" collapsed="false">
      <c r="A17" s="18" t="s">
        <v>173</v>
      </c>
      <c r="B17" s="18" t="s">
        <v>178</v>
      </c>
      <c r="C17" s="19" t="n">
        <v>467</v>
      </c>
      <c r="D17" s="19" t="n">
        <v>848541</v>
      </c>
      <c r="E17" s="19" t="n">
        <v>1080637</v>
      </c>
      <c r="F17" s="20" t="n">
        <v>6.3</v>
      </c>
      <c r="G17" s="21" t="n">
        <v>0.85</v>
      </c>
      <c r="H17" s="20" t="s">
        <v>165</v>
      </c>
      <c r="I17" s="22" t="n">
        <f aca="false">(E17/D17)^(1/6)-1</f>
        <v>0.0411209051502746</v>
      </c>
      <c r="J17" s="22" t="n">
        <f aca="false">MAX(0,MIN(Assumptions!$B$9,I17))</f>
        <v>0.035</v>
      </c>
      <c r="K17" s="23" t="n">
        <f aca="false">G17*Assumptions!$B$5+(1-G17)/Assumptions!$B$6</f>
        <v>1.02375</v>
      </c>
      <c r="L17" s="24" t="n">
        <f aca="false">E17*(1+J17)^3/F17</f>
        <v>190178.025124821</v>
      </c>
      <c r="M17" s="24" t="n">
        <f aca="false">E17*(1+J17)^-5/F17*K17</f>
        <v>147853.445531105</v>
      </c>
      <c r="N17" s="24" t="n">
        <f aca="false">L17*K17</f>
        <v>194694.753221536</v>
      </c>
      <c r="O17" s="24" t="n">
        <f aca="false">E17*(1+J17)^7/F17*K17</f>
        <v>223416.707422721</v>
      </c>
    </row>
    <row r="18" customFormat="false" ht="15" hidden="false" customHeight="false" outlineLevel="0" collapsed="false">
      <c r="A18" s="18" t="s">
        <v>179</v>
      </c>
      <c r="B18" s="18" t="s">
        <v>180</v>
      </c>
      <c r="C18" s="19" t="n">
        <v>304</v>
      </c>
      <c r="D18" s="19" t="n">
        <v>2259627</v>
      </c>
      <c r="E18" s="19" t="n">
        <v>2555486</v>
      </c>
      <c r="F18" s="20" t="n">
        <v>6.05</v>
      </c>
      <c r="G18" s="21" t="n">
        <v>0.75</v>
      </c>
      <c r="H18" s="20" t="s">
        <v>165</v>
      </c>
      <c r="I18" s="22" t="n">
        <f aca="false">(E18/D18)^(1/6)-1</f>
        <v>0.0207188264496325</v>
      </c>
      <c r="J18" s="22" t="n">
        <f aca="false">MAX(0,MIN(Assumptions!$B$9,I18))</f>
        <v>0.0207188264496325</v>
      </c>
      <c r="K18" s="23" t="n">
        <f aca="false">G18*Assumptions!$B$5+(1-G18)/Assumptions!$B$6</f>
        <v>0.90625</v>
      </c>
      <c r="L18" s="24" t="n">
        <f aca="false">E18*(1+J18)^3/F18</f>
        <v>449196.647908889</v>
      </c>
      <c r="M18" s="24" t="n">
        <f aca="false">E18*(1+J18)^-5/F18*K18</f>
        <v>345490.034968818</v>
      </c>
      <c r="N18" s="24" t="n">
        <f aca="false">L18*K18</f>
        <v>407084.462167431</v>
      </c>
      <c r="O18" s="24" t="n">
        <f aca="false">E18*(1+J18)^7/F18*K18</f>
        <v>441884.763170424</v>
      </c>
    </row>
    <row r="19" customFormat="false" ht="15" hidden="false" customHeight="false" outlineLevel="0" collapsed="false">
      <c r="A19" s="18" t="s">
        <v>179</v>
      </c>
      <c r="B19" s="18" t="s">
        <v>181</v>
      </c>
      <c r="C19" s="19" t="n">
        <v>1632</v>
      </c>
      <c r="D19" s="19" t="n">
        <v>1322756</v>
      </c>
      <c r="E19" s="19" t="n">
        <v>1516004</v>
      </c>
      <c r="F19" s="20" t="n">
        <v>6.05</v>
      </c>
      <c r="G19" s="21" t="n">
        <v>0.9</v>
      </c>
      <c r="H19" s="20" t="s">
        <v>167</v>
      </c>
      <c r="I19" s="22" t="n">
        <f aca="false">(E19/D19)^(1/6)-1</f>
        <v>0.0229869679369641</v>
      </c>
      <c r="J19" s="22" t="n">
        <f aca="false">MAX(0,MIN(Assumptions!$B$9,I19))</f>
        <v>0.0229869679369641</v>
      </c>
      <c r="K19" s="23" t="n">
        <f aca="false">G19*Assumptions!$B$5+(1-G19)/Assumptions!$B$6</f>
        <v>1.0825</v>
      </c>
      <c r="L19" s="24" t="n">
        <f aca="false">E19*(1+J19)^3/F19</f>
        <v>268259.602083787</v>
      </c>
      <c r="M19" s="24" t="n">
        <f aca="false">E19*(1+J19)^-5/F19*K19</f>
        <v>242115.376382754</v>
      </c>
      <c r="N19" s="24" t="n">
        <f aca="false">L19*K19</f>
        <v>290391.0192557</v>
      </c>
      <c r="O19" s="24" t="n">
        <f aca="false">E19*(1+J19)^7/F19*K19</f>
        <v>318026.702168909</v>
      </c>
    </row>
    <row r="20" customFormat="false" ht="15" hidden="false" customHeight="false" outlineLevel="0" collapsed="false">
      <c r="A20" s="18" t="s">
        <v>179</v>
      </c>
      <c r="B20" s="18" t="s">
        <v>182</v>
      </c>
      <c r="C20" s="19" t="n">
        <v>806</v>
      </c>
      <c r="D20" s="19" t="n">
        <v>609631</v>
      </c>
      <c r="E20" s="19" t="n">
        <v>682327</v>
      </c>
      <c r="F20" s="20" t="n">
        <v>6.05</v>
      </c>
      <c r="G20" s="21" t="n">
        <v>0.92</v>
      </c>
      <c r="H20" s="20" t="s">
        <v>167</v>
      </c>
      <c r="I20" s="22" t="n">
        <f aca="false">(E20/D20)^(1/6)-1</f>
        <v>0.0189532346681329</v>
      </c>
      <c r="J20" s="22" t="n">
        <f aca="false">MAX(0,MIN(Assumptions!$B$9,I20))</f>
        <v>0.0189532346681329</v>
      </c>
      <c r="K20" s="23" t="n">
        <f aca="false">G20*Assumptions!$B$5+(1-G20)/Assumptions!$B$6</f>
        <v>1.106</v>
      </c>
      <c r="L20" s="24" t="n">
        <f aca="false">E20*(1+J20)^3/F20</f>
        <v>119316.344434012</v>
      </c>
      <c r="M20" s="24" t="n">
        <f aca="false">E20*(1+J20)^-5/F20*K20</f>
        <v>113558.866152197</v>
      </c>
      <c r="N20" s="24" t="n">
        <f aca="false">L20*K20</f>
        <v>131963.876944018</v>
      </c>
      <c r="O20" s="24" t="n">
        <f aca="false">E20*(1+J20)^7/F20*K20</f>
        <v>142256.485600012</v>
      </c>
    </row>
    <row r="21" customFormat="false" ht="15" hidden="false" customHeight="false" outlineLevel="0" collapsed="false">
      <c r="A21" s="18" t="s">
        <v>179</v>
      </c>
      <c r="B21" s="18" t="s">
        <v>183</v>
      </c>
      <c r="C21" s="19" t="n">
        <v>978</v>
      </c>
      <c r="D21" s="19" t="n">
        <v>554152</v>
      </c>
      <c r="E21" s="19" t="n">
        <v>608488</v>
      </c>
      <c r="F21" s="20" t="n">
        <v>6.05</v>
      </c>
      <c r="G21" s="21" t="n">
        <v>0.95</v>
      </c>
      <c r="H21" s="20" t="s">
        <v>167</v>
      </c>
      <c r="I21" s="22" t="n">
        <f aca="false">(E21/D21)^(1/6)-1</f>
        <v>0.0157118489684225</v>
      </c>
      <c r="J21" s="22" t="n">
        <f aca="false">MAX(0,MIN(Assumptions!$B$9,I21))</f>
        <v>0.0157118489684225</v>
      </c>
      <c r="K21" s="23" t="n">
        <f aca="false">G21*Assumptions!$B$5+(1-G21)/Assumptions!$B$6</f>
        <v>1.14125</v>
      </c>
      <c r="L21" s="24" t="n">
        <f aca="false">E21*(1+J21)^3/F21</f>
        <v>105392.134353675</v>
      </c>
      <c r="M21" s="24" t="n">
        <f aca="false">E21*(1+J21)^-5/F21*K21</f>
        <v>106175.628318074</v>
      </c>
      <c r="N21" s="24" t="n">
        <f aca="false">L21*K21</f>
        <v>120278.773331132</v>
      </c>
      <c r="O21" s="24" t="n">
        <f aca="false">E21*(1+J21)^7/F21*K21</f>
        <v>128018.00812055</v>
      </c>
    </row>
    <row r="22" customFormat="false" ht="15" hidden="false" customHeight="false" outlineLevel="0" collapsed="false">
      <c r="A22" s="18" t="s">
        <v>184</v>
      </c>
      <c r="B22" s="18" t="s">
        <v>185</v>
      </c>
      <c r="C22" s="19" t="n">
        <v>176</v>
      </c>
      <c r="D22" s="19" t="n">
        <v>2183787</v>
      </c>
      <c r="E22" s="19" t="n">
        <v>2113596</v>
      </c>
      <c r="F22" s="20" t="n">
        <v>6.9</v>
      </c>
      <c r="G22" s="21" t="n">
        <v>0.7</v>
      </c>
      <c r="H22" s="20" t="s">
        <v>165</v>
      </c>
      <c r="I22" s="22" t="n">
        <f aca="false">(E22/D22)^(1/6)-1</f>
        <v>-0.00543016363324345</v>
      </c>
      <c r="J22" s="22" t="n">
        <f aca="false">MAX(0,MIN(Assumptions!$B$9,I22))</f>
        <v>0</v>
      </c>
      <c r="K22" s="23" t="n">
        <f aca="false">G22*Assumptions!$B$5+(1-G22)/Assumptions!$B$6</f>
        <v>0.8475</v>
      </c>
      <c r="L22" s="24" t="n">
        <f aca="false">E22*(1+J22)^3/F22</f>
        <v>306318.260869565</v>
      </c>
      <c r="M22" s="24" t="n">
        <f aca="false">E22*(1+J22)^-5/F22*K22</f>
        <v>259604.726086956</v>
      </c>
      <c r="N22" s="24" t="n">
        <f aca="false">L22*K22</f>
        <v>259604.726086956</v>
      </c>
      <c r="O22" s="24" t="n">
        <f aca="false">E22*(1+J22)^7/F22*K22</f>
        <v>259604.726086956</v>
      </c>
    </row>
    <row r="23" customFormat="false" ht="15" hidden="false" customHeight="false" outlineLevel="0" collapsed="false">
      <c r="A23" s="18" t="s">
        <v>184</v>
      </c>
      <c r="B23" s="18" t="s">
        <v>186</v>
      </c>
      <c r="C23" s="19" t="n">
        <v>371</v>
      </c>
      <c r="D23" s="19" t="n">
        <v>883321</v>
      </c>
      <c r="E23" s="19" t="n">
        <v>1157202</v>
      </c>
      <c r="F23" s="20" t="n">
        <v>6.5</v>
      </c>
      <c r="G23" s="21" t="n">
        <v>0.9</v>
      </c>
      <c r="H23" s="20" t="s">
        <v>167</v>
      </c>
      <c r="I23" s="22" t="n">
        <f aca="false">(E23/D23)^(1/6)-1</f>
        <v>0.0460403484156851</v>
      </c>
      <c r="J23" s="22" t="n">
        <f aca="false">MAX(0,MIN(Assumptions!$B$9,I23))</f>
        <v>0.035</v>
      </c>
      <c r="K23" s="23" t="n">
        <f aca="false">G23*Assumptions!$B$5+(1-G23)/Assumptions!$B$6</f>
        <v>1.0825</v>
      </c>
      <c r="L23" s="24" t="n">
        <f aca="false">E23*(1+J23)^3/F23</f>
        <v>197386.237290115</v>
      </c>
      <c r="M23" s="24" t="n">
        <f aca="false">E23*(1+J23)^-5/F23*K23</f>
        <v>162263.92428114</v>
      </c>
      <c r="N23" s="24" t="n">
        <f aca="false">L23*K23</f>
        <v>213670.60186655</v>
      </c>
      <c r="O23" s="24" t="n">
        <f aca="false">E23*(1+J23)^7/F23*K23</f>
        <v>245191.930199253</v>
      </c>
    </row>
    <row r="24" customFormat="false" ht="15" hidden="false" customHeight="false" outlineLevel="0" collapsed="false">
      <c r="A24" s="18" t="s">
        <v>184</v>
      </c>
      <c r="B24" s="18" t="s">
        <v>187</v>
      </c>
      <c r="C24" s="19" t="n">
        <v>353</v>
      </c>
      <c r="D24" s="19" t="n">
        <v>815174</v>
      </c>
      <c r="E24" s="19" t="n">
        <v>975495</v>
      </c>
      <c r="F24" s="20" t="n">
        <v>7</v>
      </c>
      <c r="G24" s="21" t="n">
        <v>0.9</v>
      </c>
      <c r="H24" s="20" t="s">
        <v>167</v>
      </c>
      <c r="I24" s="22" t="n">
        <f aca="false">(E24/D24)^(1/6)-1</f>
        <v>0.03037612743346</v>
      </c>
      <c r="J24" s="22" t="n">
        <f aca="false">MAX(0,MIN(Assumptions!$B$9,I24))</f>
        <v>0.03037612743346</v>
      </c>
      <c r="K24" s="23" t="n">
        <f aca="false">G24*Assumptions!$B$5+(1-G24)/Assumptions!$B$6</f>
        <v>1.0825</v>
      </c>
      <c r="L24" s="24" t="n">
        <f aca="false">E24*(1+J24)^3/F24</f>
        <v>152445.416740057</v>
      </c>
      <c r="M24" s="24" t="n">
        <f aca="false">E24*(1+J24)^-5/F24*K24</f>
        <v>129890.076460294</v>
      </c>
      <c r="N24" s="24" t="n">
        <f aca="false">L24*K24</f>
        <v>165022.163621112</v>
      </c>
      <c r="O24" s="24" t="n">
        <f aca="false">E24*(1+J24)^7/F24*K24</f>
        <v>186005.347118279</v>
      </c>
    </row>
    <row r="25" customFormat="false" ht="15" hidden="false" customHeight="false" outlineLevel="0" collapsed="false">
      <c r="A25" s="18" t="s">
        <v>184</v>
      </c>
      <c r="B25" s="18" t="s">
        <v>188</v>
      </c>
      <c r="C25" s="19" t="n">
        <v>618</v>
      </c>
      <c r="D25" s="19" t="n">
        <v>449677</v>
      </c>
      <c r="E25" s="19" t="n">
        <v>512469</v>
      </c>
      <c r="F25" s="20" t="n">
        <v>7.2</v>
      </c>
      <c r="G25" s="21" t="n">
        <v>0.92</v>
      </c>
      <c r="H25" s="20" t="s">
        <v>167</v>
      </c>
      <c r="I25" s="22" t="n">
        <f aca="false">(E25/D25)^(1/6)-1</f>
        <v>0.0220241405090698</v>
      </c>
      <c r="J25" s="22" t="n">
        <f aca="false">MAX(0,MIN(Assumptions!$B$9,I25))</f>
        <v>0.0220241405090698</v>
      </c>
      <c r="K25" s="23" t="n">
        <f aca="false">G25*Assumptions!$B$5+(1-G25)/Assumptions!$B$6</f>
        <v>1.106</v>
      </c>
      <c r="L25" s="24" t="n">
        <f aca="false">E25*(1+J25)^3/F25</f>
        <v>75983.3724209628</v>
      </c>
      <c r="M25" s="24" t="n">
        <f aca="false">E25*(1+J25)^-5/F25*K25</f>
        <v>70596.7095654801</v>
      </c>
      <c r="N25" s="24" t="n">
        <f aca="false">L25*K25</f>
        <v>84037.6098975848</v>
      </c>
      <c r="O25" s="24" t="n">
        <f aca="false">E25*(1+J25)^7/F25*K25</f>
        <v>91689.2264023456</v>
      </c>
    </row>
    <row r="26" customFormat="false" ht="15" hidden="false" customHeight="false" outlineLevel="0" collapsed="false">
      <c r="A26" s="18" t="s">
        <v>95</v>
      </c>
      <c r="B26" s="18" t="s">
        <v>189</v>
      </c>
      <c r="C26" s="19" t="n">
        <v>700</v>
      </c>
      <c r="D26" s="19" t="n">
        <v>991747</v>
      </c>
      <c r="E26" s="19" t="n">
        <v>1254991</v>
      </c>
      <c r="F26" s="20" t="n">
        <v>5.7</v>
      </c>
      <c r="G26" s="21" t="n">
        <v>0.85</v>
      </c>
      <c r="H26" s="20" t="s">
        <v>165</v>
      </c>
      <c r="I26" s="22" t="n">
        <f aca="false">(E26/D26)^(1/6)-1</f>
        <v>0.0400158370450203</v>
      </c>
      <c r="J26" s="22" t="n">
        <f aca="false">MAX(0,MIN(Assumptions!$B$9,I26))</f>
        <v>0.035</v>
      </c>
      <c r="K26" s="23" t="n">
        <f aca="false">G26*Assumptions!$B$5+(1-G26)/Assumptions!$B$6</f>
        <v>1.02375</v>
      </c>
      <c r="L26" s="24" t="n">
        <f aca="false">E26*(1+J26)^3/F26</f>
        <v>244110.693800724</v>
      </c>
      <c r="M26" s="24" t="n">
        <f aca="false">E26*(1+J26)^-5/F26*K26</f>
        <v>189783.268312607</v>
      </c>
      <c r="N26" s="24" t="n">
        <f aca="false">L26*K26</f>
        <v>249908.322778491</v>
      </c>
      <c r="O26" s="24" t="n">
        <f aca="false">E26*(1+J26)^7/F26*K26</f>
        <v>286775.548435935</v>
      </c>
    </row>
    <row r="27" customFormat="false" ht="15" hidden="false" customHeight="false" outlineLevel="0" collapsed="false">
      <c r="A27" s="18" t="s">
        <v>95</v>
      </c>
      <c r="B27" s="18" t="s">
        <v>190</v>
      </c>
      <c r="C27" s="19" t="n">
        <v>206</v>
      </c>
      <c r="D27" s="19" t="n">
        <v>1014825</v>
      </c>
      <c r="E27" s="19" t="n">
        <v>1108872</v>
      </c>
      <c r="F27" s="20" t="n">
        <v>5.7</v>
      </c>
      <c r="G27" s="21" t="n">
        <v>0.6</v>
      </c>
      <c r="H27" s="20" t="s">
        <v>105</v>
      </c>
      <c r="I27" s="22" t="n">
        <f aca="false">(E27/D27)^(1/6)-1</f>
        <v>0.0148808161590208</v>
      </c>
      <c r="J27" s="22" t="n">
        <f aca="false">MAX(0,MIN(Assumptions!$B$9,I27))</f>
        <v>0.0148808161590208</v>
      </c>
      <c r="K27" s="23" t="n">
        <f aca="false">G27*Assumptions!$B$5+(1-G27)/Assumptions!$B$6</f>
        <v>0.73</v>
      </c>
      <c r="L27" s="24" t="n">
        <f aca="false">E27*(1+J27)^3/F27</f>
        <v>203353.518694306</v>
      </c>
      <c r="M27" s="24" t="n">
        <f aca="false">E27*(1+J27)^-5/F27*K27</f>
        <v>131902.857843643</v>
      </c>
      <c r="N27" s="24" t="n">
        <f aca="false">L27*K27</f>
        <v>148448.068646844</v>
      </c>
      <c r="O27" s="24" t="n">
        <f aca="false">E27*(1+J27)^7/F27*K27</f>
        <v>157483.379132955</v>
      </c>
    </row>
    <row r="28" customFormat="false" ht="15" hidden="false" customHeight="false" outlineLevel="0" collapsed="false">
      <c r="A28" s="25"/>
      <c r="B28" s="26" t="s">
        <v>191</v>
      </c>
      <c r="C28" s="13" t="n">
        <f aca="false">SUM(C6:C27)</f>
        <v>11443</v>
      </c>
      <c r="D28" s="13" t="n">
        <f aca="false">SUM(D6:D27)</f>
        <v>38229576</v>
      </c>
      <c r="E28" s="13" t="n">
        <f aca="false">SUM(E6:E27)</f>
        <v>45871946</v>
      </c>
      <c r="F28" s="25"/>
      <c r="G28" s="25"/>
      <c r="H28" s="25"/>
      <c r="I28" s="25"/>
      <c r="J28" s="25"/>
      <c r="K28" s="25"/>
      <c r="L28" s="13" t="n">
        <f aca="false">SUM(L6:L27)</f>
        <v>8143804.00294745</v>
      </c>
      <c r="M28" s="13" t="n">
        <f aca="false">SUM(M6:M27)</f>
        <v>5403067.82584891</v>
      </c>
      <c r="N28" s="13" t="n">
        <f aca="false">SUM(N6:N27)</f>
        <v>6692331.30388342</v>
      </c>
      <c r="O28" s="13" t="n">
        <f aca="false">SUM(O6:O27)</f>
        <v>7460577.77623628</v>
      </c>
    </row>
    <row r="30" customFormat="false" ht="15" hidden="false" customHeight="false" outlineLevel="0" collapsed="false">
      <c r="A30" s="27" t="s">
        <v>192</v>
      </c>
    </row>
    <row r="31" customFormat="false" ht="15" hidden="false" customHeight="false" outlineLevel="0" collapsed="false">
      <c r="A31" s="28" t="s">
        <v>193</v>
      </c>
    </row>
    <row r="32" customFormat="false" ht="15" hidden="false" customHeight="false" outlineLevel="0" collapsed="false">
      <c r="A32" s="28" t="s">
        <v>194</v>
      </c>
    </row>
    <row r="33" customFormat="false" ht="15" hidden="false" customHeight="false" outlineLevel="0" collapsed="false">
      <c r="A33" s="28" t="s">
        <v>195</v>
      </c>
    </row>
  </sheetData>
  <mergeCells count="1">
    <mergeCell ref="A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4"/>
    <col collapsed="false" customWidth="true" hidden="false" outlineLevel="0" max="18" min="3" style="0" width="11"/>
  </cols>
  <sheetData>
    <row r="1" customFormat="false" ht="17.35" hidden="false" customHeight="false" outlineLevel="0" collapsed="false">
      <c r="A1" s="1" t="s">
        <v>196</v>
      </c>
    </row>
    <row r="2" customFormat="false" ht="31.5" hidden="false" customHeight="true" outlineLevel="0" collapsed="false">
      <c r="A2" s="5" t="s">
        <v>197</v>
      </c>
      <c r="B2" s="5"/>
      <c r="C2" s="5"/>
      <c r="D2" s="5"/>
      <c r="E2" s="5"/>
      <c r="F2" s="5"/>
      <c r="G2" s="5"/>
      <c r="H2" s="5"/>
      <c r="I2" s="5"/>
      <c r="J2" s="5"/>
      <c r="K2" s="5"/>
      <c r="L2" s="5"/>
      <c r="M2" s="5"/>
      <c r="N2" s="5"/>
    </row>
    <row r="4" customFormat="false" ht="30" hidden="false" customHeight="true" outlineLevel="0" collapsed="false">
      <c r="A4" s="16" t="s">
        <v>134</v>
      </c>
      <c r="B4" s="16" t="s">
        <v>135</v>
      </c>
      <c r="C4" s="16" t="s">
        <v>138</v>
      </c>
      <c r="D4" s="16" t="s">
        <v>198</v>
      </c>
      <c r="E4" s="16" t="s">
        <v>199</v>
      </c>
      <c r="F4" s="16" t="s">
        <v>200</v>
      </c>
      <c r="G4" s="16" t="s">
        <v>201</v>
      </c>
      <c r="H4" s="16" t="s">
        <v>202</v>
      </c>
      <c r="I4" s="16" t="s">
        <v>203</v>
      </c>
      <c r="J4" s="16" t="s">
        <v>204</v>
      </c>
      <c r="K4" s="16" t="s">
        <v>205</v>
      </c>
      <c r="L4" s="16" t="s">
        <v>206</v>
      </c>
      <c r="M4" s="16" t="s">
        <v>207</v>
      </c>
      <c r="N4" s="16" t="s">
        <v>145</v>
      </c>
      <c r="O4" s="16" t="s">
        <v>208</v>
      </c>
      <c r="P4" s="16" t="s">
        <v>209</v>
      </c>
      <c r="Q4" s="16" t="s">
        <v>210</v>
      </c>
      <c r="R4" s="16" t="s">
        <v>211</v>
      </c>
    </row>
    <row r="5" customFormat="false" ht="61.5" hidden="false" customHeight="true" outlineLevel="0" collapsed="false">
      <c r="A5" s="17"/>
      <c r="B5" s="17"/>
      <c r="C5" s="17" t="s">
        <v>212</v>
      </c>
      <c r="D5" s="17" t="s">
        <v>213</v>
      </c>
      <c r="E5" s="17" t="s">
        <v>213</v>
      </c>
      <c r="F5" s="17" t="s">
        <v>213</v>
      </c>
      <c r="G5" s="17" t="s">
        <v>213</v>
      </c>
      <c r="H5" s="17" t="s">
        <v>213</v>
      </c>
      <c r="I5" s="17" t="s">
        <v>213</v>
      </c>
      <c r="J5" s="17" t="s">
        <v>213</v>
      </c>
      <c r="K5" s="17" t="s">
        <v>214</v>
      </c>
      <c r="L5" s="17" t="s">
        <v>214</v>
      </c>
      <c r="M5" s="17" t="s">
        <v>214</v>
      </c>
      <c r="N5" s="17" t="s">
        <v>214</v>
      </c>
      <c r="O5" s="17" t="s">
        <v>214</v>
      </c>
      <c r="P5" s="17" t="s">
        <v>214</v>
      </c>
      <c r="Q5" s="17" t="s">
        <v>214</v>
      </c>
      <c r="R5" s="17" t="s">
        <v>214</v>
      </c>
    </row>
    <row r="6" customFormat="false" ht="15" hidden="false" customHeight="false" outlineLevel="0" collapsed="false">
      <c r="A6" s="29" t="str">
        <f aca="false">CensusBase!A6</f>
        <v>Karachi</v>
      </c>
      <c r="B6" s="29" t="str">
        <f aca="false">CensusBase!B6</f>
        <v>Karachi East</v>
      </c>
      <c r="C6" s="30" t="n">
        <f aca="false">CensusBase!E6</f>
        <v>3921742</v>
      </c>
      <c r="D6" s="24" t="n">
        <f aca="false">C6*(1+CensusBase!$J6)</f>
        <v>4059002.97</v>
      </c>
      <c r="E6" s="24" t="n">
        <f aca="false">D6*(1+CensusBase!$J6)</f>
        <v>4201068.07395</v>
      </c>
      <c r="F6" s="24" t="n">
        <f aca="false">E6*(1+CensusBase!$J6)</f>
        <v>4348105.45653825</v>
      </c>
      <c r="G6" s="24" t="n">
        <f aca="false">F6*(1+CensusBase!$J6)</f>
        <v>4500289.14751709</v>
      </c>
      <c r="H6" s="24" t="n">
        <f aca="false">G6*(1+CensusBase!$J6)</f>
        <v>4657799.26768019</v>
      </c>
      <c r="I6" s="24" t="n">
        <f aca="false">H6*(1+CensusBase!$J6)</f>
        <v>4820822.24204899</v>
      </c>
      <c r="J6" s="24" t="n">
        <f aca="false">I6*(1+CensusBase!$J6)</f>
        <v>4989551.02052071</v>
      </c>
      <c r="K6" s="24" t="n">
        <f aca="false">C6/CensusBase!$F6</f>
        <v>664702.033898305</v>
      </c>
      <c r="L6" s="24" t="n">
        <f aca="false">D6/CensusBase!$F6</f>
        <v>687966.605084746</v>
      </c>
      <c r="M6" s="24" t="n">
        <f aca="false">E6/CensusBase!$F6</f>
        <v>712045.436262712</v>
      </c>
      <c r="N6" s="24" t="n">
        <f aca="false">F6/CensusBase!$F6</f>
        <v>736967.026531907</v>
      </c>
      <c r="O6" s="24" t="n">
        <f aca="false">G6/CensusBase!$F6</f>
        <v>762760.872460523</v>
      </c>
      <c r="P6" s="24" t="n">
        <f aca="false">H6/CensusBase!$F6</f>
        <v>789457.502996641</v>
      </c>
      <c r="Q6" s="24" t="n">
        <f aca="false">I6/CensusBase!$F6</f>
        <v>817088.515601524</v>
      </c>
      <c r="R6" s="24" t="n">
        <f aca="false">J6/CensusBase!$F6</f>
        <v>845686.613647577</v>
      </c>
    </row>
    <row r="7" customFormat="false" ht="15" hidden="false" customHeight="false" outlineLevel="0" collapsed="false">
      <c r="A7" s="29" t="str">
        <f aca="false">CensusBase!A7</f>
        <v>Karachi</v>
      </c>
      <c r="B7" s="29" t="str">
        <f aca="false">CensusBase!B7</f>
        <v>Karachi Central</v>
      </c>
      <c r="C7" s="30" t="n">
        <f aca="false">CensusBase!E7</f>
        <v>3822325</v>
      </c>
      <c r="D7" s="24" t="n">
        <f aca="false">C7*(1+CensusBase!$J7)</f>
        <v>3956106.375</v>
      </c>
      <c r="E7" s="24" t="n">
        <f aca="false">D7*(1+CensusBase!$J7)</f>
        <v>4094570.098125</v>
      </c>
      <c r="F7" s="24" t="n">
        <f aca="false">E7*(1+CensusBase!$J7)</f>
        <v>4237880.05155937</v>
      </c>
      <c r="G7" s="24" t="n">
        <f aca="false">F7*(1+CensusBase!$J7)</f>
        <v>4386205.85336395</v>
      </c>
      <c r="H7" s="24" t="n">
        <f aca="false">G7*(1+CensusBase!$J7)</f>
        <v>4539723.05823169</v>
      </c>
      <c r="I7" s="24" t="n">
        <f aca="false">H7*(1+CensusBase!$J7)</f>
        <v>4698613.3652698</v>
      </c>
      <c r="J7" s="24" t="n">
        <f aca="false">I7*(1+CensusBase!$J7)</f>
        <v>4863064.83305424</v>
      </c>
      <c r="K7" s="24" t="n">
        <f aca="false">C7/CensusBase!$F7</f>
        <v>659021.551724138</v>
      </c>
      <c r="L7" s="24" t="n">
        <f aca="false">D7/CensusBase!$F7</f>
        <v>682087.306034483</v>
      </c>
      <c r="M7" s="24" t="n">
        <f aca="false">E7/CensusBase!$F7</f>
        <v>705960.36174569</v>
      </c>
      <c r="N7" s="24" t="n">
        <f aca="false">F7/CensusBase!$F7</f>
        <v>730668.974406789</v>
      </c>
      <c r="O7" s="24" t="n">
        <f aca="false">G7/CensusBase!$F7</f>
        <v>756242.388511026</v>
      </c>
      <c r="P7" s="24" t="n">
        <f aca="false">H7/CensusBase!$F7</f>
        <v>782710.872108912</v>
      </c>
      <c r="Q7" s="24" t="n">
        <f aca="false">I7/CensusBase!$F7</f>
        <v>810105.752632724</v>
      </c>
      <c r="R7" s="24" t="n">
        <f aca="false">J7/CensusBase!$F7</f>
        <v>838459.453974869</v>
      </c>
    </row>
    <row r="8" customFormat="false" ht="15" hidden="false" customHeight="false" outlineLevel="0" collapsed="false">
      <c r="A8" s="29" t="str">
        <f aca="false">CensusBase!A8</f>
        <v>Karachi</v>
      </c>
      <c r="B8" s="29" t="str">
        <f aca="false">CensusBase!B8</f>
        <v>Korangi</v>
      </c>
      <c r="C8" s="30" t="n">
        <f aca="false">CensusBase!E8</f>
        <v>3128971</v>
      </c>
      <c r="D8" s="24" t="n">
        <f aca="false">C8*(1+CensusBase!$J8)</f>
        <v>3231720.3732322</v>
      </c>
      <c r="E8" s="24" t="n">
        <f aca="false">D8*(1+CensusBase!$J8)</f>
        <v>3337843.83772303</v>
      </c>
      <c r="F8" s="24" t="n">
        <f aca="false">E8*(1+CensusBase!$J8)</f>
        <v>3447452.19212228</v>
      </c>
      <c r="G8" s="24" t="n">
        <f aca="false">F8*(1+CensusBase!$J8)</f>
        <v>3560659.87349374</v>
      </c>
      <c r="H8" s="24" t="n">
        <f aca="false">G8*(1+CensusBase!$J8)</f>
        <v>3677585.07679365</v>
      </c>
      <c r="I8" s="24" t="n">
        <f aca="false">H8*(1+CensusBase!$J8)</f>
        <v>3798349.87827267</v>
      </c>
      <c r="J8" s="24" t="n">
        <f aca="false">I8*(1+CensusBase!$J8)</f>
        <v>3923080.36293013</v>
      </c>
      <c r="K8" s="24" t="n">
        <f aca="false">C8/CensusBase!$F8</f>
        <v>496662.063492064</v>
      </c>
      <c r="L8" s="24" t="n">
        <f aca="false">D8/CensusBase!$F8</f>
        <v>512971.487814635</v>
      </c>
      <c r="M8" s="24" t="n">
        <f aca="false">E8/CensusBase!$F8</f>
        <v>529816.482178258</v>
      </c>
      <c r="N8" s="24" t="n">
        <f aca="false">F8/CensusBase!$F8</f>
        <v>547214.633670204</v>
      </c>
      <c r="O8" s="24" t="n">
        <f aca="false">G8/CensusBase!$F8</f>
        <v>565184.106903768</v>
      </c>
      <c r="P8" s="24" t="n">
        <f aca="false">H8/CensusBase!$F8</f>
        <v>583743.662983119</v>
      </c>
      <c r="Q8" s="24" t="n">
        <f aca="false">I8/CensusBase!$F8</f>
        <v>602912.679090901</v>
      </c>
      <c r="R8" s="24" t="n">
        <f aca="false">J8/CensusBase!$F8</f>
        <v>622711.168719068</v>
      </c>
    </row>
    <row r="9" customFormat="false" ht="15" hidden="false" customHeight="false" outlineLevel="0" collapsed="false">
      <c r="A9" s="29" t="str">
        <f aca="false">CensusBase!A9</f>
        <v>Karachi</v>
      </c>
      <c r="B9" s="29" t="str">
        <f aca="false">CensusBase!B9</f>
        <v>Karachi West</v>
      </c>
      <c r="C9" s="30" t="n">
        <f aca="false">CensusBase!E9</f>
        <v>2679380</v>
      </c>
      <c r="D9" s="24" t="n">
        <f aca="false">C9*(1+CensusBase!$J9)</f>
        <v>2773158.3</v>
      </c>
      <c r="E9" s="24" t="n">
        <f aca="false">D9*(1+CensusBase!$J9)</f>
        <v>2870218.8405</v>
      </c>
      <c r="F9" s="24" t="n">
        <f aca="false">E9*(1+CensusBase!$J9)</f>
        <v>2970676.4999175</v>
      </c>
      <c r="G9" s="24" t="n">
        <f aca="false">F9*(1+CensusBase!$J9)</f>
        <v>3074650.17741461</v>
      </c>
      <c r="H9" s="24" t="n">
        <f aca="false">G9*(1+CensusBase!$J9)</f>
        <v>3182262.93362412</v>
      </c>
      <c r="I9" s="24" t="n">
        <f aca="false">H9*(1+CensusBase!$J9)</f>
        <v>3293642.13630097</v>
      </c>
      <c r="J9" s="24" t="n">
        <f aca="false">I9*(1+CensusBase!$J9)</f>
        <v>3408919.6110715</v>
      </c>
      <c r="K9" s="24" t="n">
        <f aca="false">C9/CensusBase!$F9</f>
        <v>470066.666666667</v>
      </c>
      <c r="L9" s="24" t="n">
        <f aca="false">D9/CensusBase!$F9</f>
        <v>486519</v>
      </c>
      <c r="M9" s="24" t="n">
        <f aca="false">E9/CensusBase!$F9</f>
        <v>503547.165</v>
      </c>
      <c r="N9" s="24" t="n">
        <f aca="false">F9/CensusBase!$F9</f>
        <v>521171.315775</v>
      </c>
      <c r="O9" s="24" t="n">
        <f aca="false">G9/CensusBase!$F9</f>
        <v>539412.311827125</v>
      </c>
      <c r="P9" s="24" t="n">
        <f aca="false">H9/CensusBase!$F9</f>
        <v>558291.742741074</v>
      </c>
      <c r="Q9" s="24" t="n">
        <f aca="false">I9/CensusBase!$F9</f>
        <v>577831.953737012</v>
      </c>
      <c r="R9" s="24" t="n">
        <f aca="false">J9/CensusBase!$F9</f>
        <v>598056.072117807</v>
      </c>
    </row>
    <row r="10" customFormat="false" ht="15" hidden="false" customHeight="false" outlineLevel="0" collapsed="false">
      <c r="A10" s="29" t="str">
        <f aca="false">CensusBase!A10</f>
        <v>Karachi</v>
      </c>
      <c r="B10" s="29" t="str">
        <f aca="false">CensusBase!B10</f>
        <v>Malir</v>
      </c>
      <c r="C10" s="30" t="n">
        <f aca="false">CensusBase!E10</f>
        <v>2432248</v>
      </c>
      <c r="D10" s="24" t="n">
        <f aca="false">C10*(1+CensusBase!$J10)</f>
        <v>2517376.68</v>
      </c>
      <c r="E10" s="24" t="n">
        <f aca="false">D10*(1+CensusBase!$J10)</f>
        <v>2605484.8638</v>
      </c>
      <c r="F10" s="24" t="n">
        <f aca="false">E10*(1+CensusBase!$J10)</f>
        <v>2696676.834033</v>
      </c>
      <c r="G10" s="24" t="n">
        <f aca="false">F10*(1+CensusBase!$J10)</f>
        <v>2791060.52322415</v>
      </c>
      <c r="H10" s="24" t="n">
        <f aca="false">G10*(1+CensusBase!$J10)</f>
        <v>2888747.641537</v>
      </c>
      <c r="I10" s="24" t="n">
        <f aca="false">H10*(1+CensusBase!$J10)</f>
        <v>2989853.80899079</v>
      </c>
      <c r="J10" s="24" t="n">
        <f aca="false">I10*(1+CensusBase!$J10)</f>
        <v>3094498.69230547</v>
      </c>
      <c r="K10" s="24" t="n">
        <f aca="false">C10/CensusBase!$F10</f>
        <v>426710.175438596</v>
      </c>
      <c r="L10" s="24" t="n">
        <f aca="false">D10/CensusBase!$F10</f>
        <v>441645.031578947</v>
      </c>
      <c r="M10" s="24" t="n">
        <f aca="false">E10/CensusBase!$F10</f>
        <v>457102.60768421</v>
      </c>
      <c r="N10" s="24" t="n">
        <f aca="false">F10/CensusBase!$F10</f>
        <v>473101.198953158</v>
      </c>
      <c r="O10" s="24" t="n">
        <f aca="false">G10/CensusBase!$F10</f>
        <v>489659.740916518</v>
      </c>
      <c r="P10" s="24" t="n">
        <f aca="false">H10/CensusBase!$F10</f>
        <v>506797.831848596</v>
      </c>
      <c r="Q10" s="24" t="n">
        <f aca="false">I10/CensusBase!$F10</f>
        <v>524535.755963297</v>
      </c>
      <c r="R10" s="24" t="n">
        <f aca="false">J10/CensusBase!$F10</f>
        <v>542894.507422013</v>
      </c>
    </row>
    <row r="11" customFormat="false" ht="15" hidden="false" customHeight="false" outlineLevel="0" collapsed="false">
      <c r="A11" s="29" t="str">
        <f aca="false">CensusBase!A11</f>
        <v>Karachi</v>
      </c>
      <c r="B11" s="29" t="str">
        <f aca="false">CensusBase!B11</f>
        <v>Karachi South</v>
      </c>
      <c r="C11" s="30" t="n">
        <f aca="false">CensusBase!E11</f>
        <v>2329764</v>
      </c>
      <c r="D11" s="24" t="n">
        <f aca="false">C11*(1+CensusBase!$J11)</f>
        <v>2411305.74</v>
      </c>
      <c r="E11" s="24" t="n">
        <f aca="false">D11*(1+CensusBase!$J11)</f>
        <v>2495701.4409</v>
      </c>
      <c r="F11" s="24" t="n">
        <f aca="false">E11*(1+CensusBase!$J11)</f>
        <v>2583050.9913315</v>
      </c>
      <c r="G11" s="24" t="n">
        <f aca="false">F11*(1+CensusBase!$J11)</f>
        <v>2673457.7760281</v>
      </c>
      <c r="H11" s="24" t="n">
        <f aca="false">G11*(1+CensusBase!$J11)</f>
        <v>2767028.79818908</v>
      </c>
      <c r="I11" s="24" t="n">
        <f aca="false">H11*(1+CensusBase!$J11)</f>
        <v>2863874.8061257</v>
      </c>
      <c r="J11" s="24" t="n">
        <f aca="false">I11*(1+CensusBase!$J11)</f>
        <v>2964110.4243401</v>
      </c>
      <c r="K11" s="24" t="n">
        <f aca="false">C11/CensusBase!$F11</f>
        <v>431437.777777778</v>
      </c>
      <c r="L11" s="24" t="n">
        <f aca="false">D11/CensusBase!$F11</f>
        <v>446538.1</v>
      </c>
      <c r="M11" s="24" t="n">
        <f aca="false">E11/CensusBase!$F11</f>
        <v>462166.9335</v>
      </c>
      <c r="N11" s="24" t="n">
        <f aca="false">F11/CensusBase!$F11</f>
        <v>478342.7761725</v>
      </c>
      <c r="O11" s="24" t="n">
        <f aca="false">G11/CensusBase!$F11</f>
        <v>495084.773338537</v>
      </c>
      <c r="P11" s="24" t="n">
        <f aca="false">H11/CensusBase!$F11</f>
        <v>512412.740405386</v>
      </c>
      <c r="Q11" s="24" t="n">
        <f aca="false">I11/CensusBase!$F11</f>
        <v>530347.186319575</v>
      </c>
      <c r="R11" s="24" t="n">
        <f aca="false">J11/CensusBase!$F11</f>
        <v>548909.33784076</v>
      </c>
    </row>
    <row r="12" customFormat="false" ht="15" hidden="false" customHeight="false" outlineLevel="0" collapsed="false">
      <c r="A12" s="29" t="str">
        <f aca="false">CensusBase!A12</f>
        <v>Karachi</v>
      </c>
      <c r="B12" s="29" t="str">
        <f aca="false">CensusBase!B12</f>
        <v>Keamari</v>
      </c>
      <c r="C12" s="30" t="n">
        <f aca="false">CensusBase!E12</f>
        <v>2068451</v>
      </c>
      <c r="D12" s="24" t="n">
        <f aca="false">C12*(1+CensusBase!$J12)</f>
        <v>2111141.66016509</v>
      </c>
      <c r="E12" s="24" t="n">
        <f aca="false">D12*(1+CensusBase!$J12)</f>
        <v>2154713.41080094</v>
      </c>
      <c r="F12" s="24" t="n">
        <f aca="false">E12*(1+CensusBase!$J12)</f>
        <v>2199184.43669117</v>
      </c>
      <c r="G12" s="24" t="n">
        <f aca="false">F12*(1+CensusBase!$J12)</f>
        <v>2244573.29793427</v>
      </c>
      <c r="H12" s="24" t="n">
        <f aca="false">G12*(1+CensusBase!$J12)</f>
        <v>2290898.9376897</v>
      </c>
      <c r="I12" s="24" t="n">
        <f aca="false">H12*(1+CensusBase!$J12)</f>
        <v>2338180.69008387</v>
      </c>
      <c r="J12" s="24" t="n">
        <f aca="false">I12*(1+CensusBase!$J12)</f>
        <v>2386438.28827931</v>
      </c>
      <c r="K12" s="24" t="n">
        <f aca="false">C12/CensusBase!$F12</f>
        <v>323195.46875</v>
      </c>
      <c r="L12" s="24" t="n">
        <f aca="false">D12/CensusBase!$F12</f>
        <v>329865.884400796</v>
      </c>
      <c r="M12" s="24" t="n">
        <f aca="false">E12/CensusBase!$F12</f>
        <v>336673.970437647</v>
      </c>
      <c r="N12" s="24" t="n">
        <f aca="false">F12/CensusBase!$F12</f>
        <v>343622.568232996</v>
      </c>
      <c r="O12" s="24" t="n">
        <f aca="false">G12/CensusBase!$F12</f>
        <v>350714.57780223</v>
      </c>
      <c r="P12" s="24" t="n">
        <f aca="false">H12/CensusBase!$F12</f>
        <v>357952.959014015</v>
      </c>
      <c r="Q12" s="24" t="n">
        <f aca="false">I12/CensusBase!$F12</f>
        <v>365340.732825605</v>
      </c>
      <c r="R12" s="24" t="n">
        <f aca="false">J12/CensusBase!$F12</f>
        <v>372880.982543642</v>
      </c>
    </row>
    <row r="13" customFormat="false" ht="15" hidden="false" customHeight="false" outlineLevel="0" collapsed="false">
      <c r="A13" s="29" t="str">
        <f aca="false">CensusBase!A13</f>
        <v>Lahore</v>
      </c>
      <c r="B13" s="29" t="str">
        <f aca="false">CensusBase!B13</f>
        <v>Lahore City</v>
      </c>
      <c r="C13" s="30" t="n">
        <f aca="false">CensusBase!E13</f>
        <v>4123354</v>
      </c>
      <c r="D13" s="24" t="n">
        <f aca="false">C13*(1+CensusBase!$J13)</f>
        <v>4209013.96175254</v>
      </c>
      <c r="E13" s="24" t="n">
        <f aca="false">D13*(1+CensusBase!$J13)</f>
        <v>4296453.4527542</v>
      </c>
      <c r="F13" s="24" t="n">
        <f aca="false">E13*(1+CensusBase!$J13)</f>
        <v>4385709.44155227</v>
      </c>
      <c r="G13" s="24" t="n">
        <f aca="false">F13*(1+CensusBase!$J13)</f>
        <v>4476819.66469128</v>
      </c>
      <c r="H13" s="24" t="n">
        <f aca="false">G13*(1+CensusBase!$J13)</f>
        <v>4569822.64266758</v>
      </c>
      <c r="I13" s="24" t="n">
        <f aca="false">H13*(1+CensusBase!$J13)</f>
        <v>4664757.69621544</v>
      </c>
      <c r="J13" s="24" t="n">
        <f aca="false">I13*(1+CensusBase!$J13)</f>
        <v>4761664.96293149</v>
      </c>
      <c r="K13" s="24" t="n">
        <f aca="false">C13/CensusBase!$F13</f>
        <v>634362.153846154</v>
      </c>
      <c r="L13" s="24" t="n">
        <f aca="false">D13/CensusBase!$F13</f>
        <v>647540.609500391</v>
      </c>
      <c r="M13" s="24" t="n">
        <f aca="false">E13/CensusBase!$F13</f>
        <v>660992.838885261</v>
      </c>
      <c r="N13" s="24" t="n">
        <f aca="false">F13/CensusBase!$F13</f>
        <v>674724.52946958</v>
      </c>
      <c r="O13" s="24" t="n">
        <f aca="false">G13/CensusBase!$F13</f>
        <v>688741.486875582</v>
      </c>
      <c r="P13" s="24" t="n">
        <f aca="false">H13/CensusBase!$F13</f>
        <v>703049.637333474</v>
      </c>
      <c r="Q13" s="24" t="n">
        <f aca="false">I13/CensusBase!$F13</f>
        <v>717655.030186991</v>
      </c>
      <c r="R13" s="24" t="n">
        <f aca="false">J13/CensusBase!$F13</f>
        <v>732563.840450999</v>
      </c>
    </row>
    <row r="14" customFormat="false" ht="15" hidden="false" customHeight="false" outlineLevel="0" collapsed="false">
      <c r="A14" s="29" t="str">
        <f aca="false">CensusBase!A14</f>
        <v>Lahore</v>
      </c>
      <c r="B14" s="29" t="str">
        <f aca="false">CensusBase!B14</f>
        <v>Model Town</v>
      </c>
      <c r="C14" s="30" t="n">
        <f aca="false">CensusBase!E14</f>
        <v>3244906</v>
      </c>
      <c r="D14" s="24" t="n">
        <f aca="false">C14*(1+CensusBase!$J14)</f>
        <v>3343311.9808412</v>
      </c>
      <c r="E14" s="24" t="n">
        <f aca="false">D14*(1+CensusBase!$J14)</f>
        <v>3444702.25061568</v>
      </c>
      <c r="F14" s="24" t="n">
        <f aca="false">E14*(1+CensusBase!$J14)</f>
        <v>3549167.31175389</v>
      </c>
      <c r="G14" s="24" t="n">
        <f aca="false">F14*(1+CensusBase!$J14)</f>
        <v>3656800.4112898</v>
      </c>
      <c r="H14" s="24" t="n">
        <f aca="false">G14*(1+CensusBase!$J14)</f>
        <v>3767697.62409457</v>
      </c>
      <c r="I14" s="24" t="n">
        <f aca="false">H14*(1+CensusBase!$J14)</f>
        <v>3881957.93863437</v>
      </c>
      <c r="J14" s="24" t="n">
        <f aca="false">I14*(1+CensusBase!$J14)</f>
        <v>3999683.34532893</v>
      </c>
      <c r="K14" s="24" t="n">
        <f aca="false">C14/CensusBase!$F14</f>
        <v>499216.307692308</v>
      </c>
      <c r="L14" s="24" t="n">
        <f aca="false">D14/CensusBase!$F14</f>
        <v>514355.689360185</v>
      </c>
      <c r="M14" s="24" t="n">
        <f aca="false">E14/CensusBase!$F14</f>
        <v>529954.192402412</v>
      </c>
      <c r="N14" s="24" t="n">
        <f aca="false">F14/CensusBase!$F14</f>
        <v>546025.740269829</v>
      </c>
      <c r="O14" s="24" t="n">
        <f aca="false">G14/CensusBase!$F14</f>
        <v>562584.678659969</v>
      </c>
      <c r="P14" s="24" t="n">
        <f aca="false">H14/CensusBase!$F14</f>
        <v>579645.788322242</v>
      </c>
      <c r="Q14" s="24" t="n">
        <f aca="false">I14/CensusBase!$F14</f>
        <v>597224.298251442</v>
      </c>
      <c r="R14" s="24" t="n">
        <f aca="false">J14/CensusBase!$F14</f>
        <v>615335.899281374</v>
      </c>
    </row>
    <row r="15" customFormat="false" ht="15" hidden="false" customHeight="false" outlineLevel="0" collapsed="false">
      <c r="A15" s="29" t="str">
        <f aca="false">CensusBase!A15</f>
        <v>Lahore</v>
      </c>
      <c r="B15" s="29" t="str">
        <f aca="false">CensusBase!B15</f>
        <v>Shalimar</v>
      </c>
      <c r="C15" s="30" t="n">
        <f aca="false">CensusBase!E15</f>
        <v>2670140</v>
      </c>
      <c r="D15" s="24" t="n">
        <f aca="false">C15*(1+CensusBase!$J15)</f>
        <v>2741055.42810333</v>
      </c>
      <c r="E15" s="24" t="n">
        <f aca="false">D15*(1+CensusBase!$J15)</f>
        <v>2813854.27727937</v>
      </c>
      <c r="F15" s="24" t="n">
        <f aca="false">E15*(1+CensusBase!$J15)</f>
        <v>2888586.56872988</v>
      </c>
      <c r="G15" s="24" t="n">
        <f aca="false">F15*(1+CensusBase!$J15)</f>
        <v>2965303.65215435</v>
      </c>
      <c r="H15" s="24" t="n">
        <f aca="false">G15*(1+CensusBase!$J15)</f>
        <v>3044058.24103317</v>
      </c>
      <c r="I15" s="24" t="n">
        <f aca="false">H15*(1+CensusBase!$J15)</f>
        <v>3124904.44884787</v>
      </c>
      <c r="J15" s="24" t="n">
        <f aca="false">I15*(1+CensusBase!$J15)</f>
        <v>3207897.8262633</v>
      </c>
      <c r="K15" s="24" t="n">
        <f aca="false">C15/CensusBase!$F15</f>
        <v>423831.746031746</v>
      </c>
      <c r="L15" s="24" t="n">
        <f aca="false">D15/CensusBase!$F15</f>
        <v>435088.163191005</v>
      </c>
      <c r="M15" s="24" t="n">
        <f aca="false">E15/CensusBase!$F15</f>
        <v>446643.536076091</v>
      </c>
      <c r="N15" s="24" t="n">
        <f aca="false">F15/CensusBase!$F15</f>
        <v>458505.804560298</v>
      </c>
      <c r="O15" s="24" t="n">
        <f aca="false">G15/CensusBase!$F15</f>
        <v>470683.119389579</v>
      </c>
      <c r="P15" s="24" t="n">
        <f aca="false">H15/CensusBase!$F15</f>
        <v>483183.847783043</v>
      </c>
      <c r="Q15" s="24" t="n">
        <f aca="false">I15/CensusBase!$F15</f>
        <v>496016.579182201</v>
      </c>
      <c r="R15" s="24" t="n">
        <f aca="false">J15/CensusBase!$F15</f>
        <v>509190.131152905</v>
      </c>
    </row>
    <row r="16" customFormat="false" ht="15" hidden="false" customHeight="false" outlineLevel="0" collapsed="false">
      <c r="A16" s="29" t="str">
        <f aca="false">CensusBase!A16</f>
        <v>Lahore</v>
      </c>
      <c r="B16" s="29" t="str">
        <f aca="false">CensusBase!B16</f>
        <v>Lahore Cantt</v>
      </c>
      <c r="C16" s="30" t="n">
        <f aca="false">CensusBase!E16</f>
        <v>1885098</v>
      </c>
      <c r="D16" s="24" t="n">
        <f aca="false">C16*(1+CensusBase!$J16)</f>
        <v>1930805.08529311</v>
      </c>
      <c r="E16" s="24" t="n">
        <f aca="false">D16*(1+CensusBase!$J16)</f>
        <v>1977620.408803</v>
      </c>
      <c r="F16" s="24" t="n">
        <f aca="false">E16*(1+CensusBase!$J16)</f>
        <v>2025570.8414609</v>
      </c>
      <c r="G16" s="24" t="n">
        <f aca="false">F16*(1+CensusBase!$J16)</f>
        <v>2074683.90572487</v>
      </c>
      <c r="H16" s="24" t="n">
        <f aca="false">G16*(1+CensusBase!$J16)</f>
        <v>2124987.79137708</v>
      </c>
      <c r="I16" s="24" t="n">
        <f aca="false">H16*(1+CensusBase!$J16)</f>
        <v>2176511.37170408</v>
      </c>
      <c r="J16" s="24" t="n">
        <f aca="false">I16*(1+CensusBase!$J16)</f>
        <v>2229284.22006947</v>
      </c>
      <c r="K16" s="24" t="n">
        <f aca="false">C16/CensusBase!$F16</f>
        <v>299221.904761905</v>
      </c>
      <c r="L16" s="24" t="n">
        <f aca="false">D16/CensusBase!$F16</f>
        <v>306476.997665572</v>
      </c>
      <c r="M16" s="24" t="n">
        <f aca="false">E16/CensusBase!$F16</f>
        <v>313908.001397302</v>
      </c>
      <c r="N16" s="24" t="n">
        <f aca="false">F16/CensusBase!$F16</f>
        <v>321519.18118427</v>
      </c>
      <c r="O16" s="24" t="n">
        <f aca="false">G16/CensusBase!$F16</f>
        <v>329314.905670615</v>
      </c>
      <c r="P16" s="24" t="n">
        <f aca="false">H16/CensusBase!$F16</f>
        <v>337299.649424933</v>
      </c>
      <c r="Q16" s="24" t="n">
        <f aca="false">I16/CensusBase!$F16</f>
        <v>345477.995508585</v>
      </c>
      <c r="R16" s="24" t="n">
        <f aca="false">J16/CensusBase!$F16</f>
        <v>353854.638106265</v>
      </c>
    </row>
    <row r="17" customFormat="false" ht="15" hidden="false" customHeight="false" outlineLevel="0" collapsed="false">
      <c r="A17" s="29" t="str">
        <f aca="false">CensusBase!A17</f>
        <v>Lahore</v>
      </c>
      <c r="B17" s="29" t="str">
        <f aca="false">CensusBase!B17</f>
        <v>Raiwind</v>
      </c>
      <c r="C17" s="30" t="n">
        <f aca="false">CensusBase!E17</f>
        <v>1080637</v>
      </c>
      <c r="D17" s="24" t="n">
        <f aca="false">C17*(1+CensusBase!$J17)</f>
        <v>1118459.295</v>
      </c>
      <c r="E17" s="24" t="n">
        <f aca="false">D17*(1+CensusBase!$J17)</f>
        <v>1157605.370325</v>
      </c>
      <c r="F17" s="24" t="n">
        <f aca="false">E17*(1+CensusBase!$J17)</f>
        <v>1198121.55828637</v>
      </c>
      <c r="G17" s="24" t="n">
        <f aca="false">F17*(1+CensusBase!$J17)</f>
        <v>1240055.8128264</v>
      </c>
      <c r="H17" s="24" t="n">
        <f aca="false">G17*(1+CensusBase!$J17)</f>
        <v>1283457.76627532</v>
      </c>
      <c r="I17" s="24" t="n">
        <f aca="false">H17*(1+CensusBase!$J17)</f>
        <v>1328378.78809496</v>
      </c>
      <c r="J17" s="24" t="n">
        <f aca="false">I17*(1+CensusBase!$J17)</f>
        <v>1374872.04567828</v>
      </c>
      <c r="K17" s="24" t="n">
        <f aca="false">C17/CensusBase!$F17</f>
        <v>171529.682539683</v>
      </c>
      <c r="L17" s="24" t="n">
        <f aca="false">D17/CensusBase!$F17</f>
        <v>177533.221428571</v>
      </c>
      <c r="M17" s="24" t="n">
        <f aca="false">E17/CensusBase!$F17</f>
        <v>183746.884178571</v>
      </c>
      <c r="N17" s="24" t="n">
        <f aca="false">F17/CensusBase!$F17</f>
        <v>190178.025124821</v>
      </c>
      <c r="O17" s="24" t="n">
        <f aca="false">G17/CensusBase!$F17</f>
        <v>196834.25600419</v>
      </c>
      <c r="P17" s="24" t="n">
        <f aca="false">H17/CensusBase!$F17</f>
        <v>203723.454964337</v>
      </c>
      <c r="Q17" s="24" t="n">
        <f aca="false">I17/CensusBase!$F17</f>
        <v>210853.775888089</v>
      </c>
      <c r="R17" s="24" t="n">
        <f aca="false">J17/CensusBase!$F17</f>
        <v>218233.658044172</v>
      </c>
    </row>
    <row r="18" customFormat="false" ht="15" hidden="false" customHeight="false" outlineLevel="0" collapsed="false">
      <c r="A18" s="29" t="str">
        <f aca="false">CensusBase!A18</f>
        <v>Multan</v>
      </c>
      <c r="B18" s="29" t="str">
        <f aca="false">CensusBase!B18</f>
        <v>Multan City</v>
      </c>
      <c r="C18" s="30" t="n">
        <f aca="false">CensusBase!E18</f>
        <v>2555486</v>
      </c>
      <c r="D18" s="24" t="n">
        <f aca="false">C18*(1+CensusBase!$J18)</f>
        <v>2608432.67092847</v>
      </c>
      <c r="E18" s="24" t="n">
        <f aca="false">D18*(1+CensusBase!$J18)</f>
        <v>2662476.33474298</v>
      </c>
      <c r="F18" s="24" t="n">
        <f aca="false">E18*(1+CensusBase!$J18)</f>
        <v>2717639.71984878</v>
      </c>
      <c r="G18" s="24" t="n">
        <f aca="false">F18*(1+CensusBase!$J18)</f>
        <v>2773946.02555695</v>
      </c>
      <c r="H18" s="24" t="n">
        <f aca="false">G18*(1+CensusBase!$J18)</f>
        <v>2831418.93184111</v>
      </c>
      <c r="I18" s="24" t="n">
        <f aca="false">H18*(1+CensusBase!$J18)</f>
        <v>2890082.60929613</v>
      </c>
      <c r="J18" s="24" t="n">
        <f aca="false">I18*(1+CensusBase!$J18)</f>
        <v>2949961.72930324</v>
      </c>
      <c r="K18" s="24" t="n">
        <f aca="false">C18/CensusBase!$F18</f>
        <v>422394.380165289</v>
      </c>
      <c r="L18" s="24" t="n">
        <f aca="false">D18/CensusBase!$F18</f>
        <v>431145.896021234</v>
      </c>
      <c r="M18" s="24" t="n">
        <f aca="false">E18/CensusBase!$F18</f>
        <v>440078.733015369</v>
      </c>
      <c r="N18" s="24" t="n">
        <f aca="false">F18/CensusBase!$F18</f>
        <v>449196.647908889</v>
      </c>
      <c r="O18" s="24" t="n">
        <f aca="false">G18/CensusBase!$F18</f>
        <v>458503.47529867</v>
      </c>
      <c r="P18" s="24" t="n">
        <f aca="false">H18/CensusBase!$F18</f>
        <v>468003.129229936</v>
      </c>
      <c r="Q18" s="24" t="n">
        <f aca="false">I18/CensusBase!$F18</f>
        <v>477699.604842336</v>
      </c>
      <c r="R18" s="24" t="n">
        <f aca="false">J18/CensusBase!$F18</f>
        <v>487596.980050123</v>
      </c>
    </row>
    <row r="19" customFormat="false" ht="15" hidden="false" customHeight="false" outlineLevel="0" collapsed="false">
      <c r="A19" s="29" t="str">
        <f aca="false">CensusBase!A19</f>
        <v>Multan</v>
      </c>
      <c r="B19" s="29" t="str">
        <f aca="false">CensusBase!B19</f>
        <v>Multan Saddar</v>
      </c>
      <c r="C19" s="30" t="n">
        <f aca="false">CensusBase!E19</f>
        <v>1516004</v>
      </c>
      <c r="D19" s="24" t="n">
        <f aca="false">C19*(1+CensusBase!$J19)</f>
        <v>1550852.33534031</v>
      </c>
      <c r="E19" s="24" t="n">
        <f aca="false">D19*(1+CensusBase!$J19)</f>
        <v>1586501.72824774</v>
      </c>
      <c r="F19" s="24" t="n">
        <f aca="false">E19*(1+CensusBase!$J19)</f>
        <v>1622970.59260691</v>
      </c>
      <c r="G19" s="24" t="n">
        <f aca="false">F19*(1+CensusBase!$J19)</f>
        <v>1660277.7655818</v>
      </c>
      <c r="H19" s="24" t="n">
        <f aca="false">G19*(1+CensusBase!$J19)</f>
        <v>1698442.51734569</v>
      </c>
      <c r="I19" s="24" t="n">
        <f aca="false">H19*(1+CensusBase!$J19)</f>
        <v>1737484.56103469</v>
      </c>
      <c r="J19" s="24" t="n">
        <f aca="false">I19*(1+CensusBase!$J19)</f>
        <v>1777424.06293016</v>
      </c>
      <c r="K19" s="24" t="n">
        <f aca="false">C19/CensusBase!$F19</f>
        <v>250579.173553719</v>
      </c>
      <c r="L19" s="24" t="n">
        <f aca="false">D19/CensusBase!$F19</f>
        <v>256339.228981869</v>
      </c>
      <c r="M19" s="24" t="n">
        <f aca="false">E19/CensusBase!$F19</f>
        <v>262231.690619462</v>
      </c>
      <c r="N19" s="24" t="n">
        <f aca="false">F19/CensusBase!$F19</f>
        <v>268259.602083787</v>
      </c>
      <c r="O19" s="24" t="n">
        <f aca="false">G19/CensusBase!$F19</f>
        <v>274426.07695567</v>
      </c>
      <c r="P19" s="24" t="n">
        <f aca="false">H19/CensusBase!$F19</f>
        <v>280734.300387717</v>
      </c>
      <c r="Q19" s="24" t="n">
        <f aca="false">I19/CensusBase!$F19</f>
        <v>287187.530749535</v>
      </c>
      <c r="R19" s="24" t="n">
        <f aca="false">J19/CensusBase!$F19</f>
        <v>293789.101310771</v>
      </c>
    </row>
    <row r="20" customFormat="false" ht="15" hidden="false" customHeight="false" outlineLevel="0" collapsed="false">
      <c r="A20" s="29" t="str">
        <f aca="false">CensusBase!A20</f>
        <v>Multan</v>
      </c>
      <c r="B20" s="29" t="str">
        <f aca="false">CensusBase!B20</f>
        <v>Shujabad</v>
      </c>
      <c r="C20" s="30" t="n">
        <f aca="false">CensusBase!E20</f>
        <v>682327</v>
      </c>
      <c r="D20" s="24" t="n">
        <f aca="false">C20*(1+CensusBase!$J20)</f>
        <v>695259.303751403</v>
      </c>
      <c r="E20" s="24" t="n">
        <f aca="false">D20*(1+CensusBase!$J20)</f>
        <v>708436.716490606</v>
      </c>
      <c r="F20" s="24" t="n">
        <f aca="false">E20*(1+CensusBase!$J20)</f>
        <v>721863.883825774</v>
      </c>
      <c r="G20" s="24" t="n">
        <f aca="false">F20*(1+CensusBase!$J20)</f>
        <v>735545.539414374</v>
      </c>
      <c r="H20" s="24" t="n">
        <f aca="false">G20*(1+CensusBase!$J20)</f>
        <v>749486.506631993</v>
      </c>
      <c r="I20" s="24" t="n">
        <f aca="false">H20*(1+CensusBase!$J20)</f>
        <v>763691.700272788</v>
      </c>
      <c r="J20" s="24" t="n">
        <f aca="false">I20*(1+CensusBase!$J20)</f>
        <v>778166.128282164</v>
      </c>
      <c r="K20" s="24" t="n">
        <f aca="false">C20/CensusBase!$F20</f>
        <v>112781.32231405</v>
      </c>
      <c r="L20" s="24" t="n">
        <f aca="false">D20/CensusBase!$F20</f>
        <v>114918.89318205</v>
      </c>
      <c r="M20" s="24" t="n">
        <f aca="false">E20/CensusBase!$F20</f>
        <v>117096.977932332</v>
      </c>
      <c r="N20" s="24" t="n">
        <f aca="false">F20/CensusBase!$F20</f>
        <v>119316.344434012</v>
      </c>
      <c r="O20" s="24" t="n">
        <f aca="false">G20/CensusBase!$F20</f>
        <v>121577.775109814</v>
      </c>
      <c r="P20" s="24" t="n">
        <f aca="false">H20/CensusBase!$F20</f>
        <v>123882.0672119</v>
      </c>
      <c r="Q20" s="24" t="n">
        <f aca="false">I20/CensusBase!$F20</f>
        <v>126230.03310294</v>
      </c>
      <c r="R20" s="24" t="n">
        <f aca="false">J20/CensusBase!$F20</f>
        <v>128622.500542506</v>
      </c>
    </row>
    <row r="21" customFormat="false" ht="15" hidden="false" customHeight="false" outlineLevel="0" collapsed="false">
      <c r="A21" s="29" t="str">
        <f aca="false">CensusBase!A21</f>
        <v>Multan</v>
      </c>
      <c r="B21" s="29" t="str">
        <f aca="false">CensusBase!B21</f>
        <v>Jalalpur Pirwala</v>
      </c>
      <c r="C21" s="30" t="n">
        <f aca="false">CensusBase!E21</f>
        <v>608488</v>
      </c>
      <c r="D21" s="24" t="n">
        <f aca="false">C21*(1+CensusBase!$J21)</f>
        <v>618048.471555098</v>
      </c>
      <c r="E21" s="24" t="n">
        <f aca="false">D21*(1+CensusBase!$J21)</f>
        <v>627759.155795336</v>
      </c>
      <c r="F21" s="24" t="n">
        <f aca="false">E21*(1+CensusBase!$J21)</f>
        <v>637622.412839736</v>
      </c>
      <c r="G21" s="24" t="n">
        <f aca="false">F21*(1+CensusBase!$J21)</f>
        <v>647640.639889155</v>
      </c>
      <c r="H21" s="24" t="n">
        <f aca="false">G21*(1+CensusBase!$J21)</f>
        <v>657816.271808906</v>
      </c>
      <c r="I21" s="24" t="n">
        <f aca="false">H21*(1+CensusBase!$J21)</f>
        <v>668151.781720539</v>
      </c>
      <c r="J21" s="24" t="n">
        <f aca="false">I21*(1+CensusBase!$J21)</f>
        <v>678649.681602914</v>
      </c>
      <c r="K21" s="24" t="n">
        <f aca="false">C21/CensusBase!$F21</f>
        <v>100576.52892562</v>
      </c>
      <c r="L21" s="24" t="n">
        <f aca="false">D21/CensusBase!$F21</f>
        <v>102156.772157867</v>
      </c>
      <c r="M21" s="24" t="n">
        <f aca="false">E21/CensusBase!$F21</f>
        <v>103761.843933113</v>
      </c>
      <c r="N21" s="24" t="n">
        <f aca="false">F21/CensusBase!$F21</f>
        <v>105392.134353675</v>
      </c>
      <c r="O21" s="24" t="n">
        <f aca="false">G21/CensusBase!$F21</f>
        <v>107048.0396511</v>
      </c>
      <c r="P21" s="24" t="n">
        <f aca="false">H21/CensusBase!$F21</f>
        <v>108729.962282464</v>
      </c>
      <c r="Q21" s="24" t="n">
        <f aca="false">I21/CensusBase!$F21</f>
        <v>110438.311028188</v>
      </c>
      <c r="R21" s="24" t="n">
        <f aca="false">J21/CensusBase!$F21</f>
        <v>112173.501091391</v>
      </c>
    </row>
    <row r="22" customFormat="false" ht="15" hidden="false" customHeight="false" outlineLevel="0" collapsed="false">
      <c r="A22" s="29" t="str">
        <f aca="false">CensusBase!A22</f>
        <v>Peshawar</v>
      </c>
      <c r="B22" s="29" t="str">
        <f aca="false">CensusBase!B22</f>
        <v>Peshawar City</v>
      </c>
      <c r="C22" s="30" t="n">
        <f aca="false">CensusBase!E22</f>
        <v>2113596</v>
      </c>
      <c r="D22" s="24" t="n">
        <f aca="false">C22*(1+CensusBase!$J22)</f>
        <v>2113596</v>
      </c>
      <c r="E22" s="24" t="n">
        <f aca="false">D22*(1+CensusBase!$J22)</f>
        <v>2113596</v>
      </c>
      <c r="F22" s="24" t="n">
        <f aca="false">E22*(1+CensusBase!$J22)</f>
        <v>2113596</v>
      </c>
      <c r="G22" s="24" t="n">
        <f aca="false">F22*(1+CensusBase!$J22)</f>
        <v>2113596</v>
      </c>
      <c r="H22" s="24" t="n">
        <f aca="false">G22*(1+CensusBase!$J22)</f>
        <v>2113596</v>
      </c>
      <c r="I22" s="24" t="n">
        <f aca="false">H22*(1+CensusBase!$J22)</f>
        <v>2113596</v>
      </c>
      <c r="J22" s="24" t="n">
        <f aca="false">I22*(1+CensusBase!$J22)</f>
        <v>2113596</v>
      </c>
      <c r="K22" s="24" t="n">
        <f aca="false">C22/CensusBase!$F22</f>
        <v>306318.260869565</v>
      </c>
      <c r="L22" s="24" t="n">
        <f aca="false">D22/CensusBase!$F22</f>
        <v>306318.260869565</v>
      </c>
      <c r="M22" s="24" t="n">
        <f aca="false">E22/CensusBase!$F22</f>
        <v>306318.260869565</v>
      </c>
      <c r="N22" s="24" t="n">
        <f aca="false">F22/CensusBase!$F22</f>
        <v>306318.260869565</v>
      </c>
      <c r="O22" s="24" t="n">
        <f aca="false">G22/CensusBase!$F22</f>
        <v>306318.260869565</v>
      </c>
      <c r="P22" s="24" t="n">
        <f aca="false">H22/CensusBase!$F22</f>
        <v>306318.260869565</v>
      </c>
      <c r="Q22" s="24" t="n">
        <f aca="false">I22/CensusBase!$F22</f>
        <v>306318.260869565</v>
      </c>
      <c r="R22" s="24" t="n">
        <f aca="false">J22/CensusBase!$F22</f>
        <v>306318.260869565</v>
      </c>
    </row>
    <row r="23" customFormat="false" ht="15" hidden="false" customHeight="false" outlineLevel="0" collapsed="false">
      <c r="A23" s="29" t="str">
        <f aca="false">CensusBase!A23</f>
        <v>Peshawar</v>
      </c>
      <c r="B23" s="29" t="str">
        <f aca="false">CensusBase!B23</f>
        <v>East Ring</v>
      </c>
      <c r="C23" s="30" t="n">
        <f aca="false">CensusBase!E23</f>
        <v>1157202</v>
      </c>
      <c r="D23" s="24" t="n">
        <f aca="false">C23*(1+CensusBase!$J23)</f>
        <v>1197704.07</v>
      </c>
      <c r="E23" s="24" t="n">
        <f aca="false">D23*(1+CensusBase!$J23)</f>
        <v>1239623.71245</v>
      </c>
      <c r="F23" s="24" t="n">
        <f aca="false">E23*(1+CensusBase!$J23)</f>
        <v>1283010.54238575</v>
      </c>
      <c r="G23" s="24" t="n">
        <f aca="false">F23*(1+CensusBase!$J23)</f>
        <v>1327915.91136925</v>
      </c>
      <c r="H23" s="24" t="n">
        <f aca="false">G23*(1+CensusBase!$J23)</f>
        <v>1374392.96826717</v>
      </c>
      <c r="I23" s="24" t="n">
        <f aca="false">H23*(1+CensusBase!$J23)</f>
        <v>1422496.72215653</v>
      </c>
      <c r="J23" s="24" t="n">
        <f aca="false">I23*(1+CensusBase!$J23)</f>
        <v>1472284.107432</v>
      </c>
      <c r="K23" s="24" t="n">
        <f aca="false">C23/CensusBase!$F23</f>
        <v>178031.076923077</v>
      </c>
      <c r="L23" s="24" t="n">
        <f aca="false">D23/CensusBase!$F23</f>
        <v>184262.164615385</v>
      </c>
      <c r="M23" s="24" t="n">
        <f aca="false">E23/CensusBase!$F23</f>
        <v>190711.340376923</v>
      </c>
      <c r="N23" s="24" t="n">
        <f aca="false">F23/CensusBase!$F23</f>
        <v>197386.237290115</v>
      </c>
      <c r="O23" s="24" t="n">
        <f aca="false">G23/CensusBase!$F23</f>
        <v>204294.755595269</v>
      </c>
      <c r="P23" s="24" t="n">
        <f aca="false">H23/CensusBase!$F23</f>
        <v>211445.072041104</v>
      </c>
      <c r="Q23" s="24" t="n">
        <f aca="false">I23/CensusBase!$F23</f>
        <v>218845.649562542</v>
      </c>
      <c r="R23" s="24" t="n">
        <f aca="false">J23/CensusBase!$F23</f>
        <v>226505.247297231</v>
      </c>
    </row>
    <row r="24" customFormat="false" ht="15" hidden="false" customHeight="false" outlineLevel="0" collapsed="false">
      <c r="A24" s="29" t="str">
        <f aca="false">CensusBase!A24</f>
        <v>Peshawar</v>
      </c>
      <c r="B24" s="29" t="str">
        <f aca="false">CensusBase!B24</f>
        <v>North-West Ring</v>
      </c>
      <c r="C24" s="30" t="n">
        <f aca="false">CensusBase!E24</f>
        <v>975495</v>
      </c>
      <c r="D24" s="24" t="n">
        <f aca="false">C24*(1+CensusBase!$J24)</f>
        <v>1005126.7604307</v>
      </c>
      <c r="E24" s="24" t="n">
        <f aca="false">D24*(1+CensusBase!$J24)</f>
        <v>1035658.61899233</v>
      </c>
      <c r="F24" s="24" t="n">
        <f aca="false">E24*(1+CensusBase!$J24)</f>
        <v>1067117.9171804</v>
      </c>
      <c r="G24" s="24" t="n">
        <f aca="false">F24*(1+CensusBase!$J24)</f>
        <v>1099532.8270192</v>
      </c>
      <c r="H24" s="24" t="n">
        <f aca="false">G24*(1+CensusBase!$J24)</f>
        <v>1132932.37629001</v>
      </c>
      <c r="I24" s="24" t="n">
        <f aca="false">H24*(1+CensusBase!$J24)</f>
        <v>1167346.47452568</v>
      </c>
      <c r="J24" s="24" t="n">
        <f aca="false">I24*(1+CensusBase!$J24)</f>
        <v>1202805.93979488</v>
      </c>
      <c r="K24" s="24" t="n">
        <f aca="false">C24/CensusBase!$F24</f>
        <v>139356.428571429</v>
      </c>
      <c r="L24" s="24" t="n">
        <f aca="false">D24/CensusBase!$F24</f>
        <v>143589.537204386</v>
      </c>
      <c r="M24" s="24" t="n">
        <f aca="false">E24/CensusBase!$F24</f>
        <v>147951.231284618</v>
      </c>
      <c r="N24" s="24" t="n">
        <f aca="false">F24/CensusBase!$F24</f>
        <v>152445.416740057</v>
      </c>
      <c r="O24" s="24" t="n">
        <f aca="false">G24/CensusBase!$F24</f>
        <v>157076.1181456</v>
      </c>
      <c r="P24" s="24" t="n">
        <f aca="false">H24/CensusBase!$F24</f>
        <v>161847.482327144</v>
      </c>
      <c r="Q24" s="24" t="n">
        <f aca="false">I24/CensusBase!$F24</f>
        <v>166763.782075098</v>
      </c>
      <c r="R24" s="24" t="n">
        <f aca="false">J24/CensusBase!$F24</f>
        <v>171829.419970697</v>
      </c>
    </row>
    <row r="25" customFormat="false" ht="15" hidden="false" customHeight="false" outlineLevel="0" collapsed="false">
      <c r="A25" s="29" t="str">
        <f aca="false">CensusBase!A25</f>
        <v>Peshawar</v>
      </c>
      <c r="B25" s="29" t="str">
        <f aca="false">CensusBase!B25</f>
        <v>South Belt</v>
      </c>
      <c r="C25" s="30" t="n">
        <f aca="false">CensusBase!E25</f>
        <v>512469</v>
      </c>
      <c r="D25" s="24" t="n">
        <f aca="false">C25*(1+CensusBase!$J25)</f>
        <v>523755.689262542</v>
      </c>
      <c r="E25" s="24" t="n">
        <f aca="false">D25*(1+CensusBase!$J25)</f>
        <v>535290.958155285</v>
      </c>
      <c r="F25" s="24" t="n">
        <f aca="false">E25*(1+CensusBase!$J25)</f>
        <v>547080.281430932</v>
      </c>
      <c r="G25" s="24" t="n">
        <f aca="false">F25*(1+CensusBase!$J25)</f>
        <v>559129.254418908</v>
      </c>
      <c r="H25" s="24" t="n">
        <f aca="false">G25*(1+CensusBase!$J25)</f>
        <v>571443.595680962</v>
      </c>
      <c r="I25" s="24" t="n">
        <f aca="false">H25*(1+CensusBase!$J25)</f>
        <v>584029.149725247</v>
      </c>
      <c r="J25" s="24" t="n">
        <f aca="false">I25*(1+CensusBase!$J25)</f>
        <v>596891.889780189</v>
      </c>
      <c r="K25" s="24" t="n">
        <f aca="false">C25/CensusBase!$F25</f>
        <v>71176.25</v>
      </c>
      <c r="L25" s="24" t="n">
        <f aca="false">D25/CensusBase!$F25</f>
        <v>72743.8457309087</v>
      </c>
      <c r="M25" s="24" t="n">
        <f aca="false">E25/CensusBase!$F25</f>
        <v>74345.9664104563</v>
      </c>
      <c r="N25" s="24" t="n">
        <f aca="false">F25/CensusBase!$F25</f>
        <v>75983.3724209628</v>
      </c>
      <c r="O25" s="24" t="n">
        <f aca="false">G25/CensusBase!$F25</f>
        <v>77656.840891515</v>
      </c>
      <c r="P25" s="24" t="n">
        <f aca="false">H25/CensusBase!$F25</f>
        <v>79367.1660668002</v>
      </c>
      <c r="Q25" s="24" t="n">
        <f aca="false">I25/CensusBase!$F25</f>
        <v>81115.1596840621</v>
      </c>
      <c r="R25" s="24" t="n">
        <f aca="false">J25/CensusBase!$F25</f>
        <v>82901.6513583595</v>
      </c>
    </row>
    <row r="26" customFormat="false" ht="15" hidden="false" customHeight="false" outlineLevel="0" collapsed="false">
      <c r="A26" s="29" t="str">
        <f aca="false">CensusBase!A26</f>
        <v>Islamabad</v>
      </c>
      <c r="B26" s="29" t="str">
        <f aca="false">CensusBase!B26</f>
        <v>ICT Rural belt</v>
      </c>
      <c r="C26" s="30" t="n">
        <f aca="false">CensusBase!E26</f>
        <v>1254991</v>
      </c>
      <c r="D26" s="24" t="n">
        <f aca="false">C26*(1+CensusBase!$J26)</f>
        <v>1298915.685</v>
      </c>
      <c r="E26" s="24" t="n">
        <f aca="false">D26*(1+CensusBase!$J26)</f>
        <v>1344377.733975</v>
      </c>
      <c r="F26" s="24" t="n">
        <f aca="false">E26*(1+CensusBase!$J26)</f>
        <v>1391430.95466412</v>
      </c>
      <c r="G26" s="24" t="n">
        <f aca="false">F26*(1+CensusBase!$J26)</f>
        <v>1440131.03807737</v>
      </c>
      <c r="H26" s="24" t="n">
        <f aca="false">G26*(1+CensusBase!$J26)</f>
        <v>1490535.62441008</v>
      </c>
      <c r="I26" s="24" t="n">
        <f aca="false">H26*(1+CensusBase!$J26)</f>
        <v>1542704.37126443</v>
      </c>
      <c r="J26" s="24" t="n">
        <f aca="false">I26*(1+CensusBase!$J26)</f>
        <v>1596699.02425868</v>
      </c>
      <c r="K26" s="24" t="n">
        <f aca="false">C26/CensusBase!$F26</f>
        <v>220173.859649123</v>
      </c>
      <c r="L26" s="24" t="n">
        <f aca="false">D26/CensusBase!$F26</f>
        <v>227879.944736842</v>
      </c>
      <c r="M26" s="24" t="n">
        <f aca="false">E26/CensusBase!$F26</f>
        <v>235855.742802632</v>
      </c>
      <c r="N26" s="24" t="n">
        <f aca="false">F26/CensusBase!$F26</f>
        <v>244110.693800724</v>
      </c>
      <c r="O26" s="24" t="n">
        <f aca="false">G26/CensusBase!$F26</f>
        <v>252654.568083749</v>
      </c>
      <c r="P26" s="24" t="n">
        <f aca="false">H26/CensusBase!$F26</f>
        <v>261497.47796668</v>
      </c>
      <c r="Q26" s="24" t="n">
        <f aca="false">I26/CensusBase!$F26</f>
        <v>270649.889695514</v>
      </c>
      <c r="R26" s="24" t="n">
        <f aca="false">J26/CensusBase!$F26</f>
        <v>280122.635834857</v>
      </c>
    </row>
    <row r="27" customFormat="false" ht="15" hidden="false" customHeight="false" outlineLevel="0" collapsed="false">
      <c r="A27" s="29" t="str">
        <f aca="false">CensusBase!A27</f>
        <v>Islamabad</v>
      </c>
      <c r="B27" s="29" t="str">
        <f aca="false">CensusBase!B27</f>
        <v>ICT Urban</v>
      </c>
      <c r="C27" s="30" t="n">
        <f aca="false">CensusBase!E27</f>
        <v>1108872</v>
      </c>
      <c r="D27" s="24" t="n">
        <f aca="false">C27*(1+CensusBase!$J27)</f>
        <v>1125372.92037589</v>
      </c>
      <c r="E27" s="24" t="n">
        <f aca="false">D27*(1+CensusBase!$J27)</f>
        <v>1142119.38791434</v>
      </c>
      <c r="F27" s="24" t="n">
        <f aca="false">E27*(1+CensusBase!$J27)</f>
        <v>1159115.05655755</v>
      </c>
      <c r="G27" s="24" t="n">
        <f aca="false">F27*(1+CensusBase!$J27)</f>
        <v>1176363.63462133</v>
      </c>
      <c r="H27" s="24" t="n">
        <f aca="false">G27*(1+CensusBase!$J27)</f>
        <v>1193868.88560429</v>
      </c>
      <c r="I27" s="24" t="n">
        <f aca="false">H27*(1+CensusBase!$J27)</f>
        <v>1211634.62900894</v>
      </c>
      <c r="J27" s="24" t="n">
        <f aca="false">I27*(1+CensusBase!$J27)</f>
        <v>1229664.74117513</v>
      </c>
      <c r="K27" s="24" t="n">
        <f aca="false">C27/CensusBase!$F27</f>
        <v>194538.947368421</v>
      </c>
      <c r="L27" s="24" t="n">
        <f aca="false">D27/CensusBase!$F27</f>
        <v>197433.84567998</v>
      </c>
      <c r="M27" s="24" t="n">
        <f aca="false">E27/CensusBase!$F27</f>
        <v>200371.822441112</v>
      </c>
      <c r="N27" s="24" t="n">
        <f aca="false">F27/CensusBase!$F27</f>
        <v>203353.518694306</v>
      </c>
      <c r="O27" s="24" t="n">
        <f aca="false">G27/CensusBase!$F27</f>
        <v>206379.585021286</v>
      </c>
      <c r="P27" s="24" t="n">
        <f aca="false">H27/CensusBase!$F27</f>
        <v>209450.681684963</v>
      </c>
      <c r="Q27" s="24" t="n">
        <f aca="false">I27/CensusBase!$F27</f>
        <v>212567.478773499</v>
      </c>
      <c r="R27" s="24" t="n">
        <f aca="false">J27/CensusBase!$F27</f>
        <v>215730.656346514</v>
      </c>
    </row>
    <row r="28" customFormat="false" ht="15" hidden="false" customHeight="false" outlineLevel="0" collapsed="false">
      <c r="A28" s="25"/>
      <c r="B28" s="26" t="s">
        <v>191</v>
      </c>
      <c r="C28" s="13" t="n">
        <f aca="false">SUM(C6:C27)</f>
        <v>45871946</v>
      </c>
      <c r="D28" s="13" t="n">
        <f aca="false">SUM(D6:D27)</f>
        <v>47139521.7560319</v>
      </c>
      <c r="E28" s="13" t="n">
        <f aca="false">SUM(E6:E27)</f>
        <v>48445676.6723398</v>
      </c>
      <c r="F28" s="13" t="n">
        <f aca="false">SUM(F6:F27)</f>
        <v>49791629.5453163</v>
      </c>
      <c r="G28" s="13" t="n">
        <f aca="false">SUM(G6:G27)</f>
        <v>51178638.731611</v>
      </c>
      <c r="H28" s="13" t="n">
        <f aca="false">SUM(H6:H27)</f>
        <v>52608003.4570734</v>
      </c>
      <c r="I28" s="13" t="n">
        <f aca="false">SUM(I6:I27)</f>
        <v>54081065.1695945</v>
      </c>
      <c r="J28" s="13" t="n">
        <f aca="false">SUM(J6:J27)</f>
        <v>55599208.9373323</v>
      </c>
      <c r="K28" s="13" t="n">
        <f aca="false">SUM(K6:K27)</f>
        <v>7495883.76095964</v>
      </c>
      <c r="L28" s="13" t="n">
        <f aca="false">SUM(L6:L27)</f>
        <v>7705376.48523942</v>
      </c>
      <c r="M28" s="13" t="n">
        <f aca="false">SUM(M6:M27)</f>
        <v>7921282.01943374</v>
      </c>
      <c r="N28" s="13" t="n">
        <f aca="false">SUM(N6:N27)</f>
        <v>8143804.00294744</v>
      </c>
      <c r="O28" s="13" t="n">
        <f aca="false">SUM(O6:O27)</f>
        <v>8373152.7139819</v>
      </c>
      <c r="P28" s="13" t="n">
        <f aca="false">SUM(P6:P27)</f>
        <v>8609545.28999404</v>
      </c>
      <c r="Q28" s="13" t="n">
        <f aca="false">SUM(Q6:Q27)</f>
        <v>8853205.95557123</v>
      </c>
      <c r="R28" s="13" t="n">
        <f aca="false">SUM(R6:R27)</f>
        <v>9104366.25797346</v>
      </c>
    </row>
    <row r="30" customFormat="false" ht="15" hidden="false" customHeight="false" outlineLevel="0" collapsed="false">
      <c r="A30" s="3" t="s">
        <v>215</v>
      </c>
    </row>
    <row r="31" customFormat="false" ht="15" hidden="false" customHeight="false" outlineLevel="0" collapsed="false">
      <c r="A31" s="31" t="s">
        <v>134</v>
      </c>
      <c r="B31" s="31" t="s">
        <v>138</v>
      </c>
      <c r="C31" s="31" t="s">
        <v>198</v>
      </c>
      <c r="D31" s="31" t="s">
        <v>199</v>
      </c>
      <c r="E31" s="31" t="s">
        <v>200</v>
      </c>
      <c r="F31" s="31" t="s">
        <v>201</v>
      </c>
      <c r="G31" s="31" t="s">
        <v>202</v>
      </c>
      <c r="H31" s="31" t="s">
        <v>203</v>
      </c>
      <c r="I31" s="31" t="s">
        <v>204</v>
      </c>
      <c r="J31" s="31" t="s">
        <v>205</v>
      </c>
      <c r="K31" s="31" t="s">
        <v>206</v>
      </c>
      <c r="L31" s="31" t="s">
        <v>207</v>
      </c>
      <c r="M31" s="31" t="s">
        <v>145</v>
      </c>
      <c r="N31" s="31" t="s">
        <v>208</v>
      </c>
      <c r="O31" s="31" t="s">
        <v>209</v>
      </c>
      <c r="P31" s="31" t="s">
        <v>210</v>
      </c>
      <c r="Q31" s="31" t="s">
        <v>211</v>
      </c>
    </row>
    <row r="32" customFormat="false" ht="15" hidden="false" customHeight="false" outlineLevel="0" collapsed="false">
      <c r="A32" s="32" t="s">
        <v>163</v>
      </c>
      <c r="B32" s="24" t="n">
        <f aca="false">SUMIFS(C$6:C$27,$A$6:$A$27,$A32)</f>
        <v>20382881</v>
      </c>
      <c r="C32" s="24" t="n">
        <f aca="false">SUMIFS(D$6:D$27,$A$6:$A$27,$A32)</f>
        <v>21059812.0983973</v>
      </c>
      <c r="D32" s="24" t="n">
        <f aca="false">SUMIFS(E$6:E$27,$A$6:$A$27,$A32)</f>
        <v>21759600.565799</v>
      </c>
      <c r="E32" s="24" t="n">
        <f aca="false">SUMIFS(F$6:F$27,$A$6:$A$27,$A32)</f>
        <v>22483026.4621931</v>
      </c>
      <c r="F32" s="24" t="n">
        <f aca="false">SUMIFS(G$6:G$27,$A$6:$A$27,$A32)</f>
        <v>23230896.6489759</v>
      </c>
      <c r="G32" s="24" t="n">
        <f aca="false">SUMIFS(H$6:H$27,$A$6:$A$27,$A32)</f>
        <v>24004045.7137454</v>
      </c>
      <c r="H32" s="24" t="n">
        <f aca="false">SUMIFS(I$6:I$27,$A$6:$A$27,$A32)</f>
        <v>24803336.9270928</v>
      </c>
      <c r="I32" s="24" t="n">
        <f aca="false">SUMIFS(J$6:J$27,$A$6:$A$27,$A32)</f>
        <v>25629663.2325015</v>
      </c>
      <c r="J32" s="24" t="n">
        <f aca="false">SUMIFS(K$6:K$27,$A$6:$A$27,$A32)</f>
        <v>3471795.73774755</v>
      </c>
      <c r="K32" s="24" t="n">
        <f aca="false">SUMIFS(L$6:L$27,$A$6:$A$27,$A32)</f>
        <v>3587593.41491361</v>
      </c>
      <c r="L32" s="24" t="n">
        <f aca="false">SUMIFS(M$6:M$27,$A$6:$A$27,$A32)</f>
        <v>3707312.95680852</v>
      </c>
      <c r="M32" s="24" t="n">
        <f aca="false">SUMIFS(N$6:N$27,$A$6:$A$27,$A32)</f>
        <v>3831088.49374255</v>
      </c>
      <c r="N32" s="24" t="n">
        <f aca="false">SUMIFS(O$6:O$27,$A$6:$A$27,$A32)</f>
        <v>3959058.77175973</v>
      </c>
      <c r="O32" s="24" t="n">
        <f aca="false">SUMIFS(P$6:P$27,$A$6:$A$27,$A32)</f>
        <v>4091367.31209774</v>
      </c>
      <c r="P32" s="24" t="n">
        <f aca="false">SUMIFS(Q$6:Q$27,$A$6:$A$27,$A32)</f>
        <v>4228162.57617064</v>
      </c>
      <c r="Q32" s="24" t="n">
        <f aca="false">SUMIFS(R$6:R$27,$A$6:$A$27,$A32)</f>
        <v>4369598.13626574</v>
      </c>
    </row>
    <row r="33" customFormat="false" ht="15" hidden="false" customHeight="false" outlineLevel="0" collapsed="false">
      <c r="A33" s="32" t="s">
        <v>173</v>
      </c>
      <c r="B33" s="24" t="n">
        <f aca="false">SUMIFS(C$6:C$27,$A$6:$A$27,$A33)</f>
        <v>13004135</v>
      </c>
      <c r="C33" s="24" t="n">
        <f aca="false">SUMIFS(D$6:D$27,$A$6:$A$27,$A33)</f>
        <v>13342645.7509902</v>
      </c>
      <c r="D33" s="24" t="n">
        <f aca="false">SUMIFS(E$6:E$27,$A$6:$A$27,$A33)</f>
        <v>13690235.7597772</v>
      </c>
      <c r="E33" s="24" t="n">
        <f aca="false">SUMIFS(F$6:F$27,$A$6:$A$27,$A33)</f>
        <v>14047155.7217833</v>
      </c>
      <c r="F33" s="24" t="n">
        <f aca="false">SUMIFS(G$6:G$27,$A$6:$A$27,$A33)</f>
        <v>14413663.4466867</v>
      </c>
      <c r="G33" s="24" t="n">
        <f aca="false">SUMIFS(H$6:H$27,$A$6:$A$27,$A33)</f>
        <v>14790024.0654477</v>
      </c>
      <c r="H33" s="24" t="n">
        <f aca="false">SUMIFS(I$6:I$27,$A$6:$A$27,$A33)</f>
        <v>15176510.2434967</v>
      </c>
      <c r="I33" s="24" t="n">
        <f aca="false">SUMIFS(J$6:J$27,$A$6:$A$27,$A33)</f>
        <v>15573402.4002715</v>
      </c>
      <c r="J33" s="24" t="n">
        <f aca="false">SUMIFS(K$6:K$27,$A$6:$A$27,$A33)</f>
        <v>2028161.7948718</v>
      </c>
      <c r="K33" s="24" t="n">
        <f aca="false">SUMIFS(L$6:L$27,$A$6:$A$27,$A33)</f>
        <v>2080994.68114572</v>
      </c>
      <c r="L33" s="24" t="n">
        <f aca="false">SUMIFS(M$6:M$27,$A$6:$A$27,$A33)</f>
        <v>2135245.45293964</v>
      </c>
      <c r="M33" s="24" t="n">
        <f aca="false">SUMIFS(N$6:N$27,$A$6:$A$27,$A33)</f>
        <v>2190953.2806088</v>
      </c>
      <c r="N33" s="24" t="n">
        <f aca="false">SUMIFS(O$6:O$27,$A$6:$A$27,$A33)</f>
        <v>2248158.44659993</v>
      </c>
      <c r="O33" s="24" t="n">
        <f aca="false">SUMIFS(P$6:P$27,$A$6:$A$27,$A33)</f>
        <v>2306902.37782803</v>
      </c>
      <c r="P33" s="24" t="n">
        <f aca="false">SUMIFS(Q$6:Q$27,$A$6:$A$27,$A33)</f>
        <v>2367227.67901731</v>
      </c>
      <c r="Q33" s="24" t="n">
        <f aca="false">SUMIFS(R$6:R$27,$A$6:$A$27,$A33)</f>
        <v>2429178.16703572</v>
      </c>
    </row>
    <row r="34" customFormat="false" ht="15" hidden="false" customHeight="false" outlineLevel="0" collapsed="false">
      <c r="A34" s="32" t="s">
        <v>179</v>
      </c>
      <c r="B34" s="24" t="n">
        <f aca="false">SUMIFS(C$6:C$27,$A$6:$A$27,$A34)</f>
        <v>5362305</v>
      </c>
      <c r="C34" s="24" t="n">
        <f aca="false">SUMIFS(D$6:D$27,$A$6:$A$27,$A34)</f>
        <v>5472592.78157528</v>
      </c>
      <c r="D34" s="24" t="n">
        <f aca="false">SUMIFS(E$6:E$27,$A$6:$A$27,$A34)</f>
        <v>5585173.93527667</v>
      </c>
      <c r="E34" s="24" t="n">
        <f aca="false">SUMIFS(F$6:F$27,$A$6:$A$27,$A34)</f>
        <v>5700096.6091212</v>
      </c>
      <c r="F34" s="24" t="n">
        <f aca="false">SUMIFS(G$6:G$27,$A$6:$A$27,$A34)</f>
        <v>5817409.97044228</v>
      </c>
      <c r="G34" s="24" t="n">
        <f aca="false">SUMIFS(H$6:H$27,$A$6:$A$27,$A34)</f>
        <v>5937164.2276277</v>
      </c>
      <c r="H34" s="24" t="n">
        <f aca="false">SUMIFS(I$6:I$27,$A$6:$A$27,$A34)</f>
        <v>6059410.65232415</v>
      </c>
      <c r="I34" s="24" t="n">
        <f aca="false">SUMIFS(J$6:J$27,$A$6:$A$27,$A34)</f>
        <v>6184201.60211848</v>
      </c>
      <c r="J34" s="24" t="n">
        <f aca="false">SUMIFS(K$6:K$27,$A$6:$A$27,$A34)</f>
        <v>886331.404958678</v>
      </c>
      <c r="K34" s="24" t="n">
        <f aca="false">SUMIFS(L$6:L$27,$A$6:$A$27,$A34)</f>
        <v>904560.790343021</v>
      </c>
      <c r="L34" s="24" t="n">
        <f aca="false">SUMIFS(M$6:M$27,$A$6:$A$27,$A34)</f>
        <v>923169.245500276</v>
      </c>
      <c r="M34" s="24" t="n">
        <f aca="false">SUMIFS(N$6:N$27,$A$6:$A$27,$A34)</f>
        <v>942164.728780364</v>
      </c>
      <c r="N34" s="24" t="n">
        <f aca="false">SUMIFS(O$6:O$27,$A$6:$A$27,$A34)</f>
        <v>961555.367015254</v>
      </c>
      <c r="O34" s="24" t="n">
        <f aca="false">SUMIFS(P$6:P$27,$A$6:$A$27,$A34)</f>
        <v>981349.459112016</v>
      </c>
      <c r="P34" s="24" t="n">
        <f aca="false">SUMIFS(Q$6:Q$27,$A$6:$A$27,$A34)</f>
        <v>1001555.479723</v>
      </c>
      <c r="Q34" s="24" t="n">
        <f aca="false">SUMIFS(R$6:R$27,$A$6:$A$27,$A34)</f>
        <v>1022182.08299479</v>
      </c>
    </row>
    <row r="35" customFormat="false" ht="15" hidden="false" customHeight="false" outlineLevel="0" collapsed="false">
      <c r="A35" s="32" t="s">
        <v>184</v>
      </c>
      <c r="B35" s="24" t="n">
        <f aca="false">SUMIFS(C$6:C$27,$A$6:$A$27,$A35)</f>
        <v>4758762</v>
      </c>
      <c r="C35" s="24" t="n">
        <f aca="false">SUMIFS(D$6:D$27,$A$6:$A$27,$A35)</f>
        <v>4840182.51969325</v>
      </c>
      <c r="D35" s="24" t="n">
        <f aca="false">SUMIFS(E$6:E$27,$A$6:$A$27,$A35)</f>
        <v>4924169.28959761</v>
      </c>
      <c r="E35" s="24" t="n">
        <f aca="false">SUMIFS(F$6:F$27,$A$6:$A$27,$A35)</f>
        <v>5010804.74099708</v>
      </c>
      <c r="F35" s="24" t="n">
        <f aca="false">SUMIFS(G$6:G$27,$A$6:$A$27,$A35)</f>
        <v>5100173.99280736</v>
      </c>
      <c r="G35" s="24" t="n">
        <f aca="false">SUMIFS(H$6:H$27,$A$6:$A$27,$A35)</f>
        <v>5192364.94023814</v>
      </c>
      <c r="H35" s="24" t="n">
        <f aca="false">SUMIFS(I$6:I$27,$A$6:$A$27,$A35)</f>
        <v>5287468.34640746</v>
      </c>
      <c r="I35" s="24" t="n">
        <f aca="false">SUMIFS(J$6:J$27,$A$6:$A$27,$A35)</f>
        <v>5385577.93700707</v>
      </c>
      <c r="J35" s="24" t="n">
        <f aca="false">SUMIFS(K$6:K$27,$A$6:$A$27,$A35)</f>
        <v>694882.016364071</v>
      </c>
      <c r="K35" s="24" t="n">
        <f aca="false">SUMIFS(L$6:L$27,$A$6:$A$27,$A35)</f>
        <v>706913.808420245</v>
      </c>
      <c r="L35" s="24" t="n">
        <f aca="false">SUMIFS(M$6:M$27,$A$6:$A$27,$A35)</f>
        <v>719326.798941563</v>
      </c>
      <c r="M35" s="24" t="n">
        <f aca="false">SUMIFS(N$6:N$27,$A$6:$A$27,$A35)</f>
        <v>732133.2873207</v>
      </c>
      <c r="N35" s="24" t="n">
        <f aca="false">SUMIFS(O$6:O$27,$A$6:$A$27,$A35)</f>
        <v>745345.975501949</v>
      </c>
      <c r="O35" s="24" t="n">
        <f aca="false">SUMIFS(P$6:P$27,$A$6:$A$27,$A35)</f>
        <v>758977.981304613</v>
      </c>
      <c r="P35" s="24" t="n">
        <f aca="false">SUMIFS(Q$6:Q$27,$A$6:$A$27,$A35)</f>
        <v>773042.852191267</v>
      </c>
      <c r="Q35" s="24" t="n">
        <f aca="false">SUMIFS(R$6:R$27,$A$6:$A$27,$A35)</f>
        <v>787554.579495853</v>
      </c>
    </row>
    <row r="36" customFormat="false" ht="15" hidden="false" customHeight="false" outlineLevel="0" collapsed="false">
      <c r="A36" s="32" t="s">
        <v>95</v>
      </c>
      <c r="B36" s="24" t="n">
        <f aca="false">SUMIFS(C$6:C$27,$A$6:$A$27,$A36)</f>
        <v>2363863</v>
      </c>
      <c r="C36" s="24" t="n">
        <f aca="false">SUMIFS(D$6:D$27,$A$6:$A$27,$A36)</f>
        <v>2424288.60537589</v>
      </c>
      <c r="D36" s="24" t="n">
        <f aca="false">SUMIFS(E$6:E$27,$A$6:$A$27,$A36)</f>
        <v>2486497.12188934</v>
      </c>
      <c r="E36" s="24" t="n">
        <f aca="false">SUMIFS(F$6:F$27,$A$6:$A$27,$A36)</f>
        <v>2550546.01122167</v>
      </c>
      <c r="F36" s="24" t="n">
        <f aca="false">SUMIFS(G$6:G$27,$A$6:$A$27,$A36)</f>
        <v>2616494.6726987</v>
      </c>
      <c r="G36" s="24" t="n">
        <f aca="false">SUMIFS(H$6:H$27,$A$6:$A$27,$A36)</f>
        <v>2684404.51001437</v>
      </c>
      <c r="H36" s="24" t="n">
        <f aca="false">SUMIFS(I$6:I$27,$A$6:$A$27,$A36)</f>
        <v>2754339.00027337</v>
      </c>
      <c r="I36" s="24" t="n">
        <f aca="false">SUMIFS(J$6:J$27,$A$6:$A$27,$A36)</f>
        <v>2826363.76543381</v>
      </c>
      <c r="J36" s="24" t="n">
        <f aca="false">SUMIFS(K$6:K$27,$A$6:$A$27,$A36)</f>
        <v>414712.807017544</v>
      </c>
      <c r="K36" s="24" t="n">
        <f aca="false">SUMIFS(L$6:L$27,$A$6:$A$27,$A36)</f>
        <v>425313.790416822</v>
      </c>
      <c r="L36" s="24" t="n">
        <f aca="false">SUMIFS(M$6:M$27,$A$6:$A$27,$A36)</f>
        <v>436227.565243744</v>
      </c>
      <c r="M36" s="24" t="n">
        <f aca="false">SUMIFS(N$6:N$27,$A$6:$A$27,$A36)</f>
        <v>447464.21249503</v>
      </c>
      <c r="N36" s="24" t="n">
        <f aca="false">SUMIFS(O$6:O$27,$A$6:$A$27,$A36)</f>
        <v>459034.153105035</v>
      </c>
      <c r="O36" s="24" t="n">
        <f aca="false">SUMIFS(P$6:P$27,$A$6:$A$27,$A36)</f>
        <v>470948.159651643</v>
      </c>
      <c r="P36" s="24" t="n">
        <f aca="false">SUMIFS(Q$6:Q$27,$A$6:$A$27,$A36)</f>
        <v>483217.368469012</v>
      </c>
      <c r="Q36" s="24" t="n">
        <f aca="false">SUMIFS(R$6:R$27,$A$6:$A$27,$A36)</f>
        <v>495853.29218137</v>
      </c>
    </row>
  </sheetData>
  <mergeCells count="1">
    <mergeCell ref="A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2"/>
    <col collapsed="false" customWidth="true" hidden="false" outlineLevel="0" max="3" min="3" style="0" width="20"/>
    <col collapsed="false" customWidth="true" hidden="false" outlineLevel="0" max="4" min="4" style="0" width="12"/>
    <col collapsed="false" customWidth="true" hidden="false" outlineLevel="0" max="5" min="5" style="0" width="10"/>
    <col collapsed="false" customWidth="true" hidden="false" outlineLevel="0" max="6" min="6" style="0" width="15"/>
    <col collapsed="false" customWidth="true" hidden="false" outlineLevel="0" max="7" min="7" style="0" width="10"/>
    <col collapsed="false" customWidth="true" hidden="false" outlineLevel="0" max="10" min="8" style="0" width="12"/>
  </cols>
  <sheetData>
    <row r="1" customFormat="false" ht="17.35" hidden="false" customHeight="false" outlineLevel="0" collapsed="false">
      <c r="A1" s="1" t="s">
        <v>216</v>
      </c>
    </row>
    <row r="2" customFormat="false" ht="31.5" hidden="false" customHeight="true" outlineLevel="0" collapsed="false">
      <c r="A2" s="5" t="s">
        <v>217</v>
      </c>
      <c r="B2" s="5"/>
      <c r="C2" s="5"/>
      <c r="D2" s="5"/>
      <c r="E2" s="5"/>
      <c r="F2" s="5"/>
      <c r="G2" s="5"/>
      <c r="H2" s="5"/>
      <c r="I2" s="5"/>
      <c r="J2" s="5"/>
      <c r="K2" s="5"/>
      <c r="L2" s="5"/>
      <c r="M2" s="5"/>
      <c r="N2" s="5"/>
    </row>
    <row r="4" customFormat="false" ht="30" hidden="false" customHeight="true" outlineLevel="0" collapsed="false">
      <c r="A4" s="33" t="s">
        <v>218</v>
      </c>
      <c r="B4" s="33" t="s">
        <v>134</v>
      </c>
      <c r="C4" s="33" t="s">
        <v>219</v>
      </c>
      <c r="D4" s="33" t="s">
        <v>220</v>
      </c>
      <c r="E4" s="33" t="s">
        <v>136</v>
      </c>
      <c r="F4" s="33" t="s">
        <v>221</v>
      </c>
      <c r="G4" s="33" t="s">
        <v>222</v>
      </c>
      <c r="H4" s="33" t="s">
        <v>146</v>
      </c>
      <c r="I4" s="33" t="s">
        <v>147</v>
      </c>
      <c r="J4" s="33" t="s">
        <v>148</v>
      </c>
    </row>
    <row r="5" customFormat="false" ht="61.5" hidden="false" customHeight="true" outlineLevel="0" collapsed="false">
      <c r="A5" s="17"/>
      <c r="B5" s="17"/>
      <c r="C5" s="17" t="s">
        <v>223</v>
      </c>
      <c r="D5" s="17" t="s">
        <v>224</v>
      </c>
      <c r="E5" s="17" t="s">
        <v>225</v>
      </c>
      <c r="F5" s="17" t="s">
        <v>226</v>
      </c>
      <c r="G5" s="17" t="s">
        <v>227</v>
      </c>
      <c r="H5" s="17" t="s">
        <v>228</v>
      </c>
      <c r="I5" s="17" t="s">
        <v>229</v>
      </c>
      <c r="J5" s="17" t="s">
        <v>230</v>
      </c>
    </row>
    <row r="6" customFormat="false" ht="15" hidden="false" customHeight="false" outlineLevel="0" collapsed="false">
      <c r="A6" s="18" t="s">
        <v>100</v>
      </c>
      <c r="B6" s="18" t="s">
        <v>163</v>
      </c>
      <c r="C6" s="18" t="s">
        <v>171</v>
      </c>
      <c r="D6" s="18" t="s">
        <v>231</v>
      </c>
      <c r="E6" s="20" t="n">
        <v>38</v>
      </c>
      <c r="F6" s="19" t="n">
        <v>12000</v>
      </c>
      <c r="G6" s="22" t="n">
        <f aca="false">Assumptions!$B$9</f>
        <v>0.035</v>
      </c>
      <c r="H6" s="24" t="n">
        <f aca="false">F6*(1+G6)^-8*Assumptions!$B$5</f>
        <v>10935.526409514</v>
      </c>
      <c r="I6" s="24" t="n">
        <f aca="false">F6*Assumptions!$B$5</f>
        <v>14400</v>
      </c>
      <c r="J6" s="24" t="n">
        <f aca="false">F6*(1+G6)^4*Assumptions!$B$5</f>
        <v>16524.331209</v>
      </c>
    </row>
    <row r="7" customFormat="false" ht="15" hidden="false" customHeight="false" outlineLevel="0" collapsed="false">
      <c r="A7" s="18" t="s">
        <v>232</v>
      </c>
      <c r="B7" s="18" t="s">
        <v>163</v>
      </c>
      <c r="C7" s="18" t="s">
        <v>170</v>
      </c>
      <c r="D7" s="18" t="s">
        <v>233</v>
      </c>
      <c r="E7" s="20" t="n">
        <v>186</v>
      </c>
      <c r="F7" s="19" t="n">
        <v>9000</v>
      </c>
      <c r="G7" s="22" t="n">
        <f aca="false">Assumptions!$B$9</f>
        <v>0.035</v>
      </c>
      <c r="H7" s="24" t="n">
        <f aca="false">F7*(1+G7)^-8*Assumptions!$B$5</f>
        <v>8201.64480713551</v>
      </c>
      <c r="I7" s="24" t="n">
        <f aca="false">F7*Assumptions!$B$5</f>
        <v>10800</v>
      </c>
      <c r="J7" s="24" t="n">
        <f aca="false">F7*(1+G7)^4*Assumptions!$B$5</f>
        <v>12393.24840675</v>
      </c>
    </row>
    <row r="8" customFormat="false" ht="15" hidden="false" customHeight="false" outlineLevel="0" collapsed="false">
      <c r="A8" s="18" t="s">
        <v>234</v>
      </c>
      <c r="B8" s="18" t="s">
        <v>173</v>
      </c>
      <c r="C8" s="18" t="s">
        <v>178</v>
      </c>
      <c r="D8" s="18" t="s">
        <v>235</v>
      </c>
      <c r="E8" s="20" t="n">
        <v>61</v>
      </c>
      <c r="F8" s="19" t="n">
        <v>14000</v>
      </c>
      <c r="G8" s="22" t="n">
        <f aca="false">Assumptions!$B$9</f>
        <v>0.035</v>
      </c>
      <c r="H8" s="24" t="n">
        <f aca="false">F8*(1+G8)^-8*Assumptions!$B$5</f>
        <v>12758.114144433</v>
      </c>
      <c r="I8" s="24" t="n">
        <f aca="false">F8*Assumptions!$B$5</f>
        <v>16800</v>
      </c>
      <c r="J8" s="24" t="n">
        <f aca="false">F8*(1+G8)^4*Assumptions!$B$5</f>
        <v>19278.3864105</v>
      </c>
    </row>
    <row r="9" customFormat="false" ht="15" hidden="false" customHeight="false" outlineLevel="0" collapsed="false">
      <c r="A9" s="18" t="s">
        <v>236</v>
      </c>
      <c r="B9" s="18" t="s">
        <v>173</v>
      </c>
      <c r="C9" s="18" t="s">
        <v>178</v>
      </c>
      <c r="D9" s="18" t="s">
        <v>235</v>
      </c>
      <c r="E9" s="20" t="n">
        <v>45</v>
      </c>
      <c r="F9" s="19" t="n">
        <v>7000</v>
      </c>
      <c r="G9" s="22" t="n">
        <f aca="false">Assumptions!$B$9</f>
        <v>0.035</v>
      </c>
      <c r="H9" s="24" t="n">
        <f aca="false">F9*(1+G9)^-8*Assumptions!$B$5</f>
        <v>6379.05707221651</v>
      </c>
      <c r="I9" s="24" t="n">
        <f aca="false">F9*Assumptions!$B$5</f>
        <v>8400</v>
      </c>
      <c r="J9" s="24" t="n">
        <f aca="false">F9*(1+G9)^4*Assumptions!$B$5</f>
        <v>9639.19320525</v>
      </c>
    </row>
    <row r="10" customFormat="false" ht="15" hidden="false" customHeight="false" outlineLevel="0" collapsed="false">
      <c r="A10" s="18" t="s">
        <v>237</v>
      </c>
      <c r="B10" s="18" t="s">
        <v>95</v>
      </c>
      <c r="C10" s="18" t="s">
        <v>189</v>
      </c>
      <c r="D10" s="18" t="s">
        <v>238</v>
      </c>
      <c r="E10" s="20" t="n">
        <v>52</v>
      </c>
      <c r="F10" s="19" t="n">
        <v>8000</v>
      </c>
      <c r="G10" s="22" t="n">
        <f aca="false">Assumptions!$B$9</f>
        <v>0.035</v>
      </c>
      <c r="H10" s="24" t="n">
        <f aca="false">F10*(1+G10)^-8*Assumptions!$B$5</f>
        <v>7290.35093967601</v>
      </c>
      <c r="I10" s="24" t="n">
        <f aca="false">F10*Assumptions!$B$5</f>
        <v>9600</v>
      </c>
      <c r="J10" s="24" t="n">
        <f aca="false">F10*(1+G10)^4*Assumptions!$B$5</f>
        <v>11016.220806</v>
      </c>
    </row>
    <row r="11" customFormat="false" ht="15" hidden="false" customHeight="false" outlineLevel="0" collapsed="false">
      <c r="A11" s="18" t="s">
        <v>239</v>
      </c>
      <c r="B11" s="18" t="s">
        <v>184</v>
      </c>
      <c r="C11" s="18" t="s">
        <v>185</v>
      </c>
      <c r="D11" s="18" t="s">
        <v>240</v>
      </c>
      <c r="E11" s="20" t="n">
        <v>27</v>
      </c>
      <c r="F11" s="19" t="n">
        <v>5000</v>
      </c>
      <c r="G11" s="22" t="n">
        <f aca="false">Assumptions!$B$9</f>
        <v>0.035</v>
      </c>
      <c r="H11" s="24" t="n">
        <f aca="false">F11*(1+G11)^-8*Assumptions!$B$5</f>
        <v>4556.4693372975</v>
      </c>
      <c r="I11" s="24" t="n">
        <f aca="false">F11*Assumptions!$B$5</f>
        <v>6000</v>
      </c>
      <c r="J11" s="24" t="n">
        <f aca="false">F11*(1+G11)^4*Assumptions!$B$5</f>
        <v>6885.13800375</v>
      </c>
    </row>
    <row r="12" customFormat="false" ht="15" hidden="false" customHeight="false" outlineLevel="0" collapsed="false">
      <c r="A12" s="18" t="s">
        <v>241</v>
      </c>
      <c r="B12" s="18" t="s">
        <v>179</v>
      </c>
      <c r="C12" s="18" t="s">
        <v>181</v>
      </c>
      <c r="D12" s="18" t="s">
        <v>242</v>
      </c>
      <c r="E12" s="20" t="n">
        <v>36</v>
      </c>
      <c r="F12" s="19" t="n">
        <v>4000</v>
      </c>
      <c r="G12" s="22" t="n">
        <f aca="false">Assumptions!$B$9</f>
        <v>0.035</v>
      </c>
      <c r="H12" s="24" t="n">
        <f aca="false">F12*(1+G12)^-8*Assumptions!$B$5</f>
        <v>3645.175469838</v>
      </c>
      <c r="I12" s="24" t="n">
        <f aca="false">F12*Assumptions!$B$5</f>
        <v>4800</v>
      </c>
      <c r="J12" s="24" t="n">
        <f aca="false">F12*(1+G12)^4*Assumptions!$B$5</f>
        <v>5508.110403</v>
      </c>
    </row>
    <row r="13" customFormat="false" ht="15" hidden="false" customHeight="false" outlineLevel="0" collapsed="false">
      <c r="A13" s="25"/>
      <c r="B13" s="26" t="s">
        <v>243</v>
      </c>
      <c r="C13" s="25"/>
      <c r="D13" s="25"/>
      <c r="E13" s="13" t="n">
        <f aca="false">SUM(E6:E12)</f>
        <v>445</v>
      </c>
      <c r="F13" s="13" t="n">
        <f aca="false">SUM(F6:F12)</f>
        <v>59000</v>
      </c>
      <c r="G13" s="25"/>
      <c r="H13" s="13" t="n">
        <f aca="false">SUM(H6:H12)</f>
        <v>53766.3381801105</v>
      </c>
      <c r="I13" s="13" t="n">
        <f aca="false">SUM(I6:I12)</f>
        <v>70800</v>
      </c>
      <c r="J13" s="13" t="n">
        <f aca="false">SUM(J6:J12)</f>
        <v>81244.62844425</v>
      </c>
      <c r="K13" s="25"/>
      <c r="L13" s="25"/>
      <c r="M13" s="25"/>
      <c r="N13" s="25"/>
    </row>
  </sheetData>
  <mergeCells count="1">
    <mergeCell ref="A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2"/>
    <col collapsed="false" customWidth="true" hidden="false" outlineLevel="0" max="3" min="3" style="0" width="9"/>
    <col collapsed="false" customWidth="true" hidden="false" outlineLevel="0" max="4" min="4" style="0" width="7"/>
    <col collapsed="false" customWidth="true" hidden="false" outlineLevel="0" max="5" min="5" style="0" width="11"/>
    <col collapsed="false" customWidth="true" hidden="false" outlineLevel="0" max="6" min="6" style="0" width="10"/>
    <col collapsed="false" customWidth="true" hidden="false" outlineLevel="0" max="11" min="7" style="0" width="12"/>
    <col collapsed="false" customWidth="true" hidden="false" outlineLevel="0" max="12" min="12" style="0" width="13"/>
    <col collapsed="false" customWidth="true" hidden="false" outlineLevel="0" max="13" min="13" style="0" width="8"/>
    <col collapsed="false" customWidth="true" hidden="false" outlineLevel="0" max="16" min="14" style="0" width="13"/>
  </cols>
  <sheetData>
    <row r="1" customFormat="false" ht="17.35" hidden="false" customHeight="false" outlineLevel="0" collapsed="false">
      <c r="A1" s="1" t="s">
        <v>244</v>
      </c>
    </row>
    <row r="2" customFormat="false" ht="31.5" hidden="false" customHeight="true" outlineLevel="0" collapsed="false">
      <c r="A2" s="5" t="s">
        <v>245</v>
      </c>
      <c r="B2" s="5"/>
      <c r="C2" s="5"/>
      <c r="D2" s="5"/>
      <c r="E2" s="5"/>
      <c r="F2" s="5"/>
      <c r="G2" s="5"/>
      <c r="H2" s="5"/>
      <c r="I2" s="5"/>
      <c r="J2" s="5"/>
      <c r="K2" s="5"/>
      <c r="L2" s="5"/>
      <c r="M2" s="5"/>
      <c r="N2" s="5"/>
    </row>
    <row r="4" customFormat="false" ht="30" hidden="false" customHeight="true" outlineLevel="0" collapsed="false">
      <c r="A4" s="16" t="s">
        <v>134</v>
      </c>
      <c r="B4" s="16" t="s">
        <v>246</v>
      </c>
      <c r="C4" s="16" t="s">
        <v>247</v>
      </c>
      <c r="D4" s="16" t="s">
        <v>248</v>
      </c>
      <c r="E4" s="16" t="s">
        <v>220</v>
      </c>
      <c r="F4" s="16" t="s">
        <v>136</v>
      </c>
      <c r="G4" s="16" t="s">
        <v>145</v>
      </c>
      <c r="H4" s="16" t="s">
        <v>146</v>
      </c>
      <c r="I4" s="16" t="s">
        <v>147</v>
      </c>
      <c r="J4" s="16" t="s">
        <v>148</v>
      </c>
      <c r="K4" s="16" t="s">
        <v>249</v>
      </c>
      <c r="L4" s="16" t="s">
        <v>250</v>
      </c>
      <c r="M4" s="16" t="s">
        <v>251</v>
      </c>
      <c r="N4" s="16" t="s">
        <v>252</v>
      </c>
      <c r="O4" s="16" t="s">
        <v>253</v>
      </c>
      <c r="P4" s="16" t="s">
        <v>254</v>
      </c>
    </row>
    <row r="5" customFormat="false" ht="61.5" hidden="false" customHeight="true" outlineLevel="0" collapsed="false">
      <c r="A5" s="17"/>
      <c r="B5" s="17"/>
      <c r="C5" s="17" t="s">
        <v>255</v>
      </c>
      <c r="D5" s="17" t="s">
        <v>256</v>
      </c>
      <c r="E5" s="17" t="s">
        <v>257</v>
      </c>
      <c r="F5" s="17" t="s">
        <v>258</v>
      </c>
      <c r="G5" s="17" t="s">
        <v>258</v>
      </c>
      <c r="H5" s="17" t="s">
        <v>259</v>
      </c>
      <c r="I5" s="17" t="s">
        <v>260</v>
      </c>
      <c r="J5" s="17" t="s">
        <v>261</v>
      </c>
      <c r="K5" s="17" t="s">
        <v>262</v>
      </c>
      <c r="L5" s="17" t="s">
        <v>263</v>
      </c>
      <c r="M5" s="17" t="s">
        <v>264</v>
      </c>
      <c r="N5" s="17" t="s">
        <v>265</v>
      </c>
      <c r="O5" s="17" t="s">
        <v>266</v>
      </c>
      <c r="P5" s="17" t="s">
        <v>267</v>
      </c>
    </row>
    <row r="6" customFormat="false" ht="15" hidden="false" customHeight="false" outlineLevel="0" collapsed="false">
      <c r="A6" s="29" t="str">
        <f aca="false">CensusBase!A6</f>
        <v>Karachi</v>
      </c>
      <c r="B6" s="29" t="str">
        <f aca="false">CensusBase!B6</f>
        <v>Karachi East</v>
      </c>
      <c r="C6" s="18" t="s">
        <v>135</v>
      </c>
      <c r="D6" s="29" t="str">
        <f aca="false">CensusBase!H6</f>
        <v>B</v>
      </c>
      <c r="E6" s="18" t="s">
        <v>268</v>
      </c>
      <c r="F6" s="30" t="n">
        <f aca="false">CensusBase!C6-SUMIFS(HyperMarkets!$E$6:$E$12,HyperMarkets!$C$6:$C$12,B6)</f>
        <v>139</v>
      </c>
      <c r="G6" s="30" t="n">
        <f aca="false">CensusBase!L6-SUMIFS(HyperMarkets!$F$6:$F$12,HyperMarkets!$C$6:$C$12,B6)</f>
        <v>736967.026531907</v>
      </c>
      <c r="H6" s="30" t="n">
        <f aca="false">MAX(1,CensusBase!M6-SUMIFS(HyperMarkets!$H$6:$H$12,HyperMarkets!$C$6:$C$12,B6))</f>
        <v>244152.23187254</v>
      </c>
      <c r="I6" s="30" t="n">
        <f aca="false">MAX(1,CensusBase!N6-SUMIFS(HyperMarkets!$I$6:$I$12,HyperMarkets!$C$6:$C$12,B6))</f>
        <v>321501.865324544</v>
      </c>
      <c r="J6" s="30" t="n">
        <f aca="false">MAX(1,CensusBase!O6-SUMIFS(HyperMarkets!$J$6:$J$12,HyperMarkets!$C$6:$C$12,B6))</f>
        <v>368930.785203755</v>
      </c>
      <c r="K6" s="24" t="n">
        <f aca="false">J6-I6</f>
        <v>47428.9198792112</v>
      </c>
      <c r="L6" s="24" t="n">
        <f aca="false">H6*Assumptions!$B$8/Assumptions!$B$7</f>
        <v>108512.103054462</v>
      </c>
      <c r="M6" s="34" t="n">
        <f aca="false">IF(D6="S",Assumptions!$B$18,IF(D6="A",Assumptions!$B$19,IF(D6="B",Assumptions!$B$20,Assumptions!$B$21)))</f>
        <v>1.6</v>
      </c>
      <c r="N6" s="24" t="n">
        <f aca="false">I6*M6</f>
        <v>514402.984519271</v>
      </c>
      <c r="O6" s="24" t="n">
        <f aca="false">K6*M6</f>
        <v>75886.271806738</v>
      </c>
      <c r="P6" s="24" t="n">
        <f aca="false">L6*M6</f>
        <v>173619.364887139</v>
      </c>
    </row>
    <row r="7" customFormat="false" ht="15" hidden="false" customHeight="false" outlineLevel="0" collapsed="false">
      <c r="A7" s="29" t="str">
        <f aca="false">CensusBase!A7</f>
        <v>Karachi</v>
      </c>
      <c r="B7" s="29" t="str">
        <f aca="false">CensusBase!B7</f>
        <v>Karachi Central</v>
      </c>
      <c r="C7" s="18" t="s">
        <v>135</v>
      </c>
      <c r="D7" s="29" t="str">
        <f aca="false">CensusBase!H7</f>
        <v>C</v>
      </c>
      <c r="E7" s="18" t="s">
        <v>269</v>
      </c>
      <c r="F7" s="30" t="n">
        <f aca="false">CensusBase!C7-SUMIFS(HyperMarkets!$E$6:$E$12,HyperMarkets!$C$6:$C$12,B7)</f>
        <v>69</v>
      </c>
      <c r="G7" s="30" t="n">
        <f aca="false">CensusBase!L7-SUMIFS(HyperMarkets!$F$6:$F$12,HyperMarkets!$C$6:$C$12,B7)</f>
        <v>730668.974406789</v>
      </c>
      <c r="H7" s="30" t="n">
        <f aca="false">MAX(1,CensusBase!M7-SUMIFS(HyperMarkets!$H$6:$H$12,HyperMarkets!$C$6:$C$12,B7))</f>
        <v>307263.948849255</v>
      </c>
      <c r="I7" s="30" t="n">
        <f aca="false">MAX(1,CensusBase!N7-SUMIFS(HyperMarkets!$I$6:$I$12,HyperMarkets!$C$6:$C$12,B7))</f>
        <v>404607.944577759</v>
      </c>
      <c r="J7" s="30" t="n">
        <f aca="false">MAX(1,CensusBase!O7-SUMIFS(HyperMarkets!$J$6:$J$12,HyperMarkets!$C$6:$C$12,B7))</f>
        <v>464296.922638584</v>
      </c>
      <c r="K7" s="24" t="n">
        <f aca="false">J7-I7</f>
        <v>59688.9780608246</v>
      </c>
      <c r="L7" s="24" t="n">
        <f aca="false">H7*Assumptions!$B$8/Assumptions!$B$7</f>
        <v>136561.755044113</v>
      </c>
      <c r="M7" s="34" t="n">
        <f aca="false">IF(D7="S",Assumptions!$B$18,IF(D7="A",Assumptions!$B$19,IF(D7="B",Assumptions!$B$20,Assumptions!$B$21)))</f>
        <v>1</v>
      </c>
      <c r="N7" s="24" t="n">
        <f aca="false">I7*M7</f>
        <v>404607.944577759</v>
      </c>
      <c r="O7" s="24" t="n">
        <f aca="false">K7*M7</f>
        <v>59688.9780608246</v>
      </c>
      <c r="P7" s="24" t="n">
        <f aca="false">L7*M7</f>
        <v>136561.755044113</v>
      </c>
    </row>
    <row r="8" customFormat="false" ht="15" hidden="false" customHeight="false" outlineLevel="0" collapsed="false">
      <c r="A8" s="29" t="str">
        <f aca="false">CensusBase!A8</f>
        <v>Karachi</v>
      </c>
      <c r="B8" s="29" t="str">
        <f aca="false">CensusBase!B8</f>
        <v>Korangi</v>
      </c>
      <c r="C8" s="18" t="s">
        <v>135</v>
      </c>
      <c r="D8" s="29" t="str">
        <f aca="false">CensusBase!H8</f>
        <v>C</v>
      </c>
      <c r="E8" s="18" t="s">
        <v>268</v>
      </c>
      <c r="F8" s="30" t="n">
        <f aca="false">CensusBase!C8-SUMIFS(HyperMarkets!$E$6:$E$12,HyperMarkets!$C$6:$C$12,B8)</f>
        <v>108</v>
      </c>
      <c r="G8" s="30" t="n">
        <f aca="false">CensusBase!L8-SUMIFS(HyperMarkets!$F$6:$F$12,HyperMarkets!$C$6:$C$12,B8)</f>
        <v>547214.633670204</v>
      </c>
      <c r="H8" s="30" t="n">
        <f aca="false">MAX(1,CensusBase!M8-SUMIFS(HyperMarkets!$H$6:$H$12,HyperMarkets!$C$6:$C$12,B8))</f>
        <v>308476.907411172</v>
      </c>
      <c r="I8" s="30" t="n">
        <f aca="false">MAX(1,CensusBase!N8-SUMIFS(HyperMarkets!$I$6:$I$12,HyperMarkets!$C$6:$C$12,B8))</f>
        <v>399466.682579249</v>
      </c>
      <c r="J8" s="30" t="n">
        <f aca="false">MAX(1,CensusBase!O8-SUMIFS(HyperMarkets!$J$6:$J$12,HyperMarkets!$C$6:$C$12,B8))</f>
        <v>454579.153164919</v>
      </c>
      <c r="K8" s="24" t="n">
        <f aca="false">J8-I8</f>
        <v>55112.4705856708</v>
      </c>
      <c r="L8" s="24" t="n">
        <f aca="false">H8*Assumptions!$B$8/Assumptions!$B$7</f>
        <v>137100.847738299</v>
      </c>
      <c r="M8" s="34" t="n">
        <f aca="false">IF(D8="S",Assumptions!$B$18,IF(D8="A",Assumptions!$B$19,IF(D8="B",Assumptions!$B$20,Assumptions!$B$21)))</f>
        <v>1</v>
      </c>
      <c r="N8" s="24" t="n">
        <f aca="false">I8*M8</f>
        <v>399466.682579249</v>
      </c>
      <c r="O8" s="24" t="n">
        <f aca="false">K8*M8</f>
        <v>55112.4705856708</v>
      </c>
      <c r="P8" s="24" t="n">
        <f aca="false">L8*M8</f>
        <v>137100.847738299</v>
      </c>
    </row>
    <row r="9" customFormat="false" ht="15" hidden="false" customHeight="false" outlineLevel="0" collapsed="false">
      <c r="A9" s="29" t="str">
        <f aca="false">CensusBase!A9</f>
        <v>Karachi</v>
      </c>
      <c r="B9" s="29" t="str">
        <f aca="false">CensusBase!B9</f>
        <v>Karachi West</v>
      </c>
      <c r="C9" s="18" t="s">
        <v>135</v>
      </c>
      <c r="D9" s="29" t="str">
        <f aca="false">CensusBase!H9</f>
        <v>C</v>
      </c>
      <c r="E9" s="18" t="s">
        <v>269</v>
      </c>
      <c r="F9" s="30" t="n">
        <f aca="false">CensusBase!C9-SUMIFS(HyperMarkets!$E$6:$E$12,HyperMarkets!$C$6:$C$12,B9)</f>
        <v>370</v>
      </c>
      <c r="G9" s="30" t="n">
        <f aca="false">CensusBase!L9-SUMIFS(HyperMarkets!$F$6:$F$12,HyperMarkets!$C$6:$C$12,B9)</f>
        <v>521171.315775</v>
      </c>
      <c r="H9" s="30" t="n">
        <f aca="false">MAX(1,CensusBase!M9-SUMIFS(HyperMarkets!$H$6:$H$12,HyperMarkets!$C$6:$C$12,B9))</f>
        <v>335426.533172849</v>
      </c>
      <c r="I9" s="30" t="n">
        <f aca="false">MAX(1,CensusBase!N9-SUMIFS(HyperMarkets!$I$6:$I$12,HyperMarkets!$C$6:$C$12,B9))</f>
        <v>441692.690119312</v>
      </c>
      <c r="J9" s="30" t="n">
        <f aca="false">MAX(1,CensusBase!O9-SUMIFS(HyperMarkets!$J$6:$J$12,HyperMarkets!$C$6:$C$12,B9))</f>
        <v>506852.521119841</v>
      </c>
      <c r="K9" s="24" t="n">
        <f aca="false">J9-I9</f>
        <v>65159.8310005291</v>
      </c>
      <c r="L9" s="24" t="n">
        <f aca="false">H9*Assumptions!$B$8/Assumptions!$B$7</f>
        <v>149078.459187933</v>
      </c>
      <c r="M9" s="34" t="n">
        <f aca="false">IF(D9="S",Assumptions!$B$18,IF(D9="A",Assumptions!$B$19,IF(D9="B",Assumptions!$B$20,Assumptions!$B$21)))</f>
        <v>1</v>
      </c>
      <c r="N9" s="24" t="n">
        <f aca="false">I9*M9</f>
        <v>441692.690119312</v>
      </c>
      <c r="O9" s="24" t="n">
        <f aca="false">K9*M9</f>
        <v>65159.8310005291</v>
      </c>
      <c r="P9" s="24" t="n">
        <f aca="false">L9*M9</f>
        <v>149078.459187933</v>
      </c>
    </row>
    <row r="10" customFormat="false" ht="15" hidden="false" customHeight="false" outlineLevel="0" collapsed="false">
      <c r="A10" s="29" t="str">
        <f aca="false">CensusBase!A10</f>
        <v>Karachi</v>
      </c>
      <c r="B10" s="29" t="str">
        <f aca="false">CensusBase!B10</f>
        <v>Malir</v>
      </c>
      <c r="C10" s="18" t="s">
        <v>135</v>
      </c>
      <c r="D10" s="29" t="str">
        <f aca="false">CensusBase!H10</f>
        <v>B</v>
      </c>
      <c r="E10" s="18" t="s">
        <v>233</v>
      </c>
      <c r="F10" s="30" t="n">
        <f aca="false">CensusBase!C10-SUMIFS(HyperMarkets!$E$6:$E$12,HyperMarkets!$C$6:$C$12,B10)</f>
        <v>1974</v>
      </c>
      <c r="G10" s="30" t="n">
        <f aca="false">CensusBase!L10-SUMIFS(HyperMarkets!$F$6:$F$12,HyperMarkets!$C$6:$C$12,B10)</f>
        <v>464101.198953158</v>
      </c>
      <c r="H10" s="30" t="n">
        <f aca="false">MAX(1,CensusBase!M10-SUMIFS(HyperMarkets!$H$6:$H$12,HyperMarkets!$C$6:$C$12,B10))</f>
        <v>317394.511899082</v>
      </c>
      <c r="I10" s="30" t="n">
        <f aca="false">MAX(1,CensusBase!N10-SUMIFS(HyperMarkets!$I$6:$I$12,HyperMarkets!$C$6:$C$12,B10))</f>
        <v>417947.961551299</v>
      </c>
      <c r="J10" s="30" t="n">
        <f aca="false">MAX(1,CensusBase!O10-SUMIFS(HyperMarkets!$J$6:$J$12,HyperMarkets!$C$6:$C$12,B10))</f>
        <v>479604.898944449</v>
      </c>
      <c r="K10" s="24" t="n">
        <f aca="false">J10-I10</f>
        <v>61656.9373931497</v>
      </c>
      <c r="L10" s="24" t="n">
        <f aca="false">H10*Assumptions!$B$8/Assumptions!$B$7</f>
        <v>141064.227510703</v>
      </c>
      <c r="M10" s="34" t="n">
        <f aca="false">IF(D10="S",Assumptions!$B$18,IF(D10="A",Assumptions!$B$19,IF(D10="B",Assumptions!$B$20,Assumptions!$B$21)))</f>
        <v>1.6</v>
      </c>
      <c r="N10" s="24" t="n">
        <f aca="false">I10*M10</f>
        <v>668716.738482079</v>
      </c>
      <c r="O10" s="24" t="n">
        <f aca="false">K10*M10</f>
        <v>98651.0998290395</v>
      </c>
      <c r="P10" s="24" t="n">
        <f aca="false">L10*M10</f>
        <v>225702.764017125</v>
      </c>
    </row>
    <row r="11" customFormat="false" ht="15" hidden="false" customHeight="false" outlineLevel="0" collapsed="false">
      <c r="A11" s="29" t="str">
        <f aca="false">CensusBase!A11</f>
        <v>Karachi</v>
      </c>
      <c r="B11" s="29" t="str">
        <f aca="false">CensusBase!B11</f>
        <v>Karachi South</v>
      </c>
      <c r="C11" s="18" t="s">
        <v>135</v>
      </c>
      <c r="D11" s="29" t="str">
        <f aca="false">CensusBase!H11</f>
        <v>A</v>
      </c>
      <c r="E11" s="18" t="s">
        <v>231</v>
      </c>
      <c r="F11" s="30" t="n">
        <f aca="false">CensusBase!C11-SUMIFS(HyperMarkets!$E$6:$E$12,HyperMarkets!$C$6:$C$12,B11)</f>
        <v>84</v>
      </c>
      <c r="G11" s="30" t="n">
        <f aca="false">CensusBase!L11-SUMIFS(HyperMarkets!$F$6:$F$12,HyperMarkets!$C$6:$C$12,B11)</f>
        <v>466342.7761725</v>
      </c>
      <c r="H11" s="30" t="n">
        <f aca="false">MAX(1,CensusBase!M11-SUMIFS(HyperMarkets!$H$6:$H$12,HyperMarkets!$C$6:$C$12,B11))</f>
        <v>232902.098859391</v>
      </c>
      <c r="I11" s="30" t="n">
        <f aca="false">MAX(1,CensusBase!N11-SUMIFS(HyperMarkets!$I$6:$I$12,HyperMarkets!$C$6:$C$12,B11))</f>
        <v>306687.588505791</v>
      </c>
      <c r="J11" s="30" t="n">
        <f aca="false">MAX(1,CensusBase!O11-SUMIFS(HyperMarkets!$J$6:$J$12,HyperMarkets!$C$6:$C$12,B11))</f>
        <v>351931.06181661</v>
      </c>
      <c r="K11" s="24" t="n">
        <f aca="false">J11-I11</f>
        <v>45243.4733108192</v>
      </c>
      <c r="L11" s="24" t="n">
        <f aca="false">H11*Assumptions!$B$8/Assumptions!$B$7</f>
        <v>103512.043937507</v>
      </c>
      <c r="M11" s="34" t="n">
        <f aca="false">IF(D11="S",Assumptions!$B$18,IF(D11="A",Assumptions!$B$19,IF(D11="B",Assumptions!$B$20,Assumptions!$B$21)))</f>
        <v>3</v>
      </c>
      <c r="N11" s="24" t="n">
        <f aca="false">I11*M11</f>
        <v>920062.765517372</v>
      </c>
      <c r="O11" s="24" t="n">
        <f aca="false">K11*M11</f>
        <v>135730.419932458</v>
      </c>
      <c r="P11" s="24" t="n">
        <f aca="false">L11*M11</f>
        <v>310536.131812522</v>
      </c>
    </row>
    <row r="12" customFormat="false" ht="15" hidden="false" customHeight="false" outlineLevel="0" collapsed="false">
      <c r="A12" s="29" t="str">
        <f aca="false">CensusBase!A12</f>
        <v>Karachi</v>
      </c>
      <c r="B12" s="29" t="str">
        <f aca="false">CensusBase!B12</f>
        <v>Keamari</v>
      </c>
      <c r="C12" s="18" t="s">
        <v>135</v>
      </c>
      <c r="D12" s="29" t="str">
        <f aca="false">CensusBase!H12</f>
        <v>C</v>
      </c>
      <c r="E12" s="18" t="s">
        <v>269</v>
      </c>
      <c r="F12" s="30" t="n">
        <f aca="false">CensusBase!C12-SUMIFS(HyperMarkets!$E$6:$E$12,HyperMarkets!$C$6:$C$12,B12)</f>
        <v>559</v>
      </c>
      <c r="G12" s="30" t="n">
        <f aca="false">CensusBase!L12-SUMIFS(HyperMarkets!$F$6:$F$12,HyperMarkets!$C$6:$C$12,B12)</f>
        <v>343622.568232996</v>
      </c>
      <c r="H12" s="30" t="n">
        <f aca="false">MAX(1,CensusBase!M12-SUMIFS(HyperMarkets!$H$6:$H$12,HyperMarkets!$C$6:$C$12,B12))</f>
        <v>247311.480071981</v>
      </c>
      <c r="I12" s="30" t="n">
        <f aca="false">MAX(1,CensusBase!N12-SUMIFS(HyperMarkets!$I$6:$I$12,HyperMarkets!$C$6:$C$12,B12))</f>
        <v>291220.126577464</v>
      </c>
      <c r="J12" s="30" t="n">
        <f aca="false">MAX(1,CensusBase!O12-SUMIFS(HyperMarkets!$J$6:$J$12,HyperMarkets!$C$6:$C$12,B12))</f>
        <v>316016.632705737</v>
      </c>
      <c r="K12" s="24" t="n">
        <f aca="false">J12-I12</f>
        <v>24796.5061282726</v>
      </c>
      <c r="L12" s="24" t="n">
        <f aca="false">H12*Assumptions!$B$8/Assumptions!$B$7</f>
        <v>109916.213365325</v>
      </c>
      <c r="M12" s="34" t="n">
        <f aca="false">IF(D12="S",Assumptions!$B$18,IF(D12="A",Assumptions!$B$19,IF(D12="B",Assumptions!$B$20,Assumptions!$B$21)))</f>
        <v>1</v>
      </c>
      <c r="N12" s="24" t="n">
        <f aca="false">I12*M12</f>
        <v>291220.126577464</v>
      </c>
      <c r="O12" s="24" t="n">
        <f aca="false">K12*M12</f>
        <v>24796.5061282726</v>
      </c>
      <c r="P12" s="24" t="n">
        <f aca="false">L12*M12</f>
        <v>109916.213365325</v>
      </c>
    </row>
    <row r="13" customFormat="false" ht="15" hidden="false" customHeight="false" outlineLevel="0" collapsed="false">
      <c r="A13" s="29" t="str">
        <f aca="false">CensusBase!A13</f>
        <v>Lahore</v>
      </c>
      <c r="B13" s="29" t="str">
        <f aca="false">CensusBase!B13</f>
        <v>Lahore City</v>
      </c>
      <c r="C13" s="18" t="s">
        <v>135</v>
      </c>
      <c r="D13" s="29" t="str">
        <f aca="false">CensusBase!H13</f>
        <v>C</v>
      </c>
      <c r="E13" s="18" t="s">
        <v>270</v>
      </c>
      <c r="F13" s="30" t="n">
        <f aca="false">CensusBase!C13-SUMIFS(HyperMarkets!$E$6:$E$12,HyperMarkets!$C$6:$C$12,B13)</f>
        <v>214</v>
      </c>
      <c r="G13" s="30" t="n">
        <f aca="false">CensusBase!L13-SUMIFS(HyperMarkets!$F$6:$F$12,HyperMarkets!$C$6:$C$12,B13)</f>
        <v>674724.52946958</v>
      </c>
      <c r="H13" s="30" t="n">
        <f aca="false">MAX(1,CensusBase!M13-SUMIFS(HyperMarkets!$H$6:$H$12,HyperMarkets!$C$6:$C$12,B13))</f>
        <v>518724.261463589</v>
      </c>
      <c r="I13" s="30" t="n">
        <f aca="false">MAX(1,CensusBase!N13-SUMIFS(HyperMarkets!$I$6:$I$12,HyperMarkets!$C$6:$C$12,B13))</f>
        <v>611469.104831807</v>
      </c>
      <c r="J13" s="30" t="n">
        <f aca="false">MAX(1,CensusBase!O13-SUMIFS(HyperMarkets!$J$6:$J$12,HyperMarkets!$C$6:$C$12,B13))</f>
        <v>663885.980408717</v>
      </c>
      <c r="K13" s="24" t="n">
        <f aca="false">J13-I13</f>
        <v>52416.8755769103</v>
      </c>
      <c r="L13" s="24" t="n">
        <f aca="false">H13*Assumptions!$B$8/Assumptions!$B$7</f>
        <v>230544.11620604</v>
      </c>
      <c r="M13" s="34" t="n">
        <f aca="false">IF(D13="S",Assumptions!$B$18,IF(D13="A",Assumptions!$B$19,IF(D13="B",Assumptions!$B$20,Assumptions!$B$21)))</f>
        <v>1</v>
      </c>
      <c r="N13" s="24" t="n">
        <f aca="false">I13*M13</f>
        <v>611469.104831807</v>
      </c>
      <c r="O13" s="24" t="n">
        <f aca="false">K13*M13</f>
        <v>52416.8755769103</v>
      </c>
      <c r="P13" s="24" t="n">
        <f aca="false">L13*M13</f>
        <v>230544.11620604</v>
      </c>
    </row>
    <row r="14" customFormat="false" ht="15" hidden="false" customHeight="false" outlineLevel="0" collapsed="false">
      <c r="A14" s="29" t="str">
        <f aca="false">CensusBase!A14</f>
        <v>Lahore</v>
      </c>
      <c r="B14" s="29" t="str">
        <f aca="false">CensusBase!B14</f>
        <v>Model Town</v>
      </c>
      <c r="C14" s="18" t="s">
        <v>135</v>
      </c>
      <c r="D14" s="29" t="str">
        <f aca="false">CensusBase!H14</f>
        <v>B</v>
      </c>
      <c r="E14" s="18" t="s">
        <v>271</v>
      </c>
      <c r="F14" s="30" t="n">
        <f aca="false">CensusBase!C14-SUMIFS(HyperMarkets!$E$6:$E$12,HyperMarkets!$C$6:$C$12,B14)</f>
        <v>353</v>
      </c>
      <c r="G14" s="30" t="n">
        <f aca="false">CensusBase!L14-SUMIFS(HyperMarkets!$F$6:$F$12,HyperMarkets!$C$6:$C$12,B14)</f>
        <v>546025.740269829</v>
      </c>
      <c r="H14" s="30" t="n">
        <f aca="false">MAX(1,CensusBase!M14-SUMIFS(HyperMarkets!$H$6:$H$12,HyperMarkets!$C$6:$C$12,B14))</f>
        <v>364380.015410319</v>
      </c>
      <c r="I14" s="30" t="n">
        <f aca="false">MAX(1,CensusBase!N14-SUMIFS(HyperMarkets!$I$6:$I$12,HyperMarkets!$C$6:$C$12,B14))</f>
        <v>462756.81487868</v>
      </c>
      <c r="J14" s="30" t="n">
        <f aca="false">MAX(1,CensusBase!O14-SUMIFS(HyperMarkets!$J$6:$J$12,HyperMarkets!$C$6:$C$12,B14))</f>
        <v>521497.174640964</v>
      </c>
      <c r="K14" s="24" t="n">
        <f aca="false">J14-I14</f>
        <v>58740.3597622846</v>
      </c>
      <c r="L14" s="24" t="n">
        <f aca="false">H14*Assumptions!$B$8/Assumptions!$B$7</f>
        <v>161946.673515697</v>
      </c>
      <c r="M14" s="34" t="n">
        <f aca="false">IF(D14="S",Assumptions!$B$18,IF(D14="A",Assumptions!$B$19,IF(D14="B",Assumptions!$B$20,Assumptions!$B$21)))</f>
        <v>1.6</v>
      </c>
      <c r="N14" s="24" t="n">
        <f aca="false">I14*M14</f>
        <v>740410.903805888</v>
      </c>
      <c r="O14" s="24" t="n">
        <f aca="false">K14*M14</f>
        <v>93984.5756196553</v>
      </c>
      <c r="P14" s="24" t="n">
        <f aca="false">L14*M14</f>
        <v>259114.677625116</v>
      </c>
    </row>
    <row r="15" customFormat="false" ht="15" hidden="false" customHeight="false" outlineLevel="0" collapsed="false">
      <c r="A15" s="29" t="str">
        <f aca="false">CensusBase!A15</f>
        <v>Lahore</v>
      </c>
      <c r="B15" s="29" t="str">
        <f aca="false">CensusBase!B15</f>
        <v>Shalimar</v>
      </c>
      <c r="C15" s="18" t="s">
        <v>135</v>
      </c>
      <c r="D15" s="29" t="str">
        <f aca="false">CensusBase!H15</f>
        <v>C</v>
      </c>
      <c r="E15" s="18" t="s">
        <v>270</v>
      </c>
      <c r="F15" s="30" t="n">
        <f aca="false">CensusBase!C15-SUMIFS(HyperMarkets!$E$6:$E$12,HyperMarkets!$C$6:$C$12,B15)</f>
        <v>272</v>
      </c>
      <c r="G15" s="30" t="n">
        <f aca="false">CensusBase!L15-SUMIFS(HyperMarkets!$F$6:$F$12,HyperMarkets!$C$6:$C$12,B15)</f>
        <v>458505.804560298</v>
      </c>
      <c r="H15" s="30" t="n">
        <f aca="false">MAX(1,CensusBase!M15-SUMIFS(HyperMarkets!$H$6:$H$12,HyperMarkets!$C$6:$C$12,B15))</f>
        <v>336916.731028404</v>
      </c>
      <c r="I15" s="30" t="n">
        <f aca="false">MAX(1,CensusBase!N15-SUMIFS(HyperMarkets!$I$6:$I$12,HyperMarkets!$C$6:$C$12,B15))</f>
        <v>415520.88538277</v>
      </c>
      <c r="J15" s="30" t="n">
        <f aca="false">MAX(1,CensusBase!O15-SUMIFS(HyperMarkets!$J$6:$J$12,HyperMarkets!$C$6:$C$12,B15))</f>
        <v>461453.556357321</v>
      </c>
      <c r="K15" s="24" t="n">
        <f aca="false">J15-I15</f>
        <v>45932.6709745504</v>
      </c>
      <c r="L15" s="24" t="n">
        <f aca="false">H15*Assumptions!$B$8/Assumptions!$B$7</f>
        <v>149740.769345957</v>
      </c>
      <c r="M15" s="34" t="n">
        <f aca="false">IF(D15="S",Assumptions!$B$18,IF(D15="A",Assumptions!$B$19,IF(D15="B",Assumptions!$B$20,Assumptions!$B$21)))</f>
        <v>1</v>
      </c>
      <c r="N15" s="24" t="n">
        <f aca="false">I15*M15</f>
        <v>415520.88538277</v>
      </c>
      <c r="O15" s="24" t="n">
        <f aca="false">K15*M15</f>
        <v>45932.6709745504</v>
      </c>
      <c r="P15" s="24" t="n">
        <f aca="false">L15*M15</f>
        <v>149740.769345957</v>
      </c>
    </row>
    <row r="16" customFormat="false" ht="15" hidden="false" customHeight="false" outlineLevel="0" collapsed="false">
      <c r="A16" s="29" t="str">
        <f aca="false">CensusBase!A16</f>
        <v>Lahore</v>
      </c>
      <c r="B16" s="29" t="str">
        <f aca="false">CensusBase!B16</f>
        <v>Lahore Cantt</v>
      </c>
      <c r="C16" s="18" t="s">
        <v>135</v>
      </c>
      <c r="D16" s="29" t="str">
        <f aca="false">CensusBase!H16</f>
        <v>A</v>
      </c>
      <c r="E16" s="18" t="s">
        <v>235</v>
      </c>
      <c r="F16" s="30" t="n">
        <f aca="false">CensusBase!C16-SUMIFS(HyperMarkets!$E$6:$E$12,HyperMarkets!$C$6:$C$12,B16)</f>
        <v>466</v>
      </c>
      <c r="G16" s="30" t="n">
        <f aca="false">CensusBase!L16-SUMIFS(HyperMarkets!$F$6:$F$12,HyperMarkets!$C$6:$C$12,B16)</f>
        <v>321519.18118427</v>
      </c>
      <c r="H16" s="30" t="n">
        <f aca="false">MAX(1,CensusBase!M16-SUMIFS(HyperMarkets!$H$6:$H$12,HyperMarkets!$C$6:$C$12,B16))</f>
        <v>271747.020690615</v>
      </c>
      <c r="I16" s="30" t="n">
        <f aca="false">MAX(1,CensusBase!N16-SUMIFS(HyperMarkets!$I$6:$I$12,HyperMarkets!$C$6:$C$12,B16))</f>
        <v>329155.261737397</v>
      </c>
      <c r="J16" s="30" t="n">
        <f aca="false">MAX(1,CensusBase!O16-SUMIFS(HyperMarkets!$J$6:$J$12,HyperMarkets!$C$6:$C$12,B16))</f>
        <v>362258.685761289</v>
      </c>
      <c r="K16" s="24" t="n">
        <f aca="false">J16-I16</f>
        <v>33103.4240238924</v>
      </c>
      <c r="L16" s="24" t="n">
        <f aca="false">H16*Assumptions!$B$8/Assumptions!$B$7</f>
        <v>120776.453640273</v>
      </c>
      <c r="M16" s="34" t="n">
        <f aca="false">IF(D16="S",Assumptions!$B$18,IF(D16="A",Assumptions!$B$19,IF(D16="B",Assumptions!$B$20,Assumptions!$B$21)))</f>
        <v>3</v>
      </c>
      <c r="N16" s="24" t="n">
        <f aca="false">I16*M16</f>
        <v>987465.785212189</v>
      </c>
      <c r="O16" s="24" t="n">
        <f aca="false">K16*M16</f>
        <v>99310.2720716773</v>
      </c>
      <c r="P16" s="24" t="n">
        <f aca="false">L16*M16</f>
        <v>362329.360920819</v>
      </c>
    </row>
    <row r="17" customFormat="false" ht="15" hidden="false" customHeight="false" outlineLevel="0" collapsed="false">
      <c r="A17" s="29" t="str">
        <f aca="false">CensusBase!A17</f>
        <v>Lahore</v>
      </c>
      <c r="B17" s="29" t="str">
        <f aca="false">CensusBase!B17</f>
        <v>Raiwind</v>
      </c>
      <c r="C17" s="18" t="s">
        <v>135</v>
      </c>
      <c r="D17" s="29" t="str">
        <f aca="false">CensusBase!H17</f>
        <v>B</v>
      </c>
      <c r="E17" s="18" t="s">
        <v>235</v>
      </c>
      <c r="F17" s="30" t="n">
        <f aca="false">CensusBase!C17-SUMIFS(HyperMarkets!$E$6:$E$12,HyperMarkets!$C$6:$C$12,B17)</f>
        <v>361</v>
      </c>
      <c r="G17" s="30" t="n">
        <f aca="false">CensusBase!L17-SUMIFS(HyperMarkets!$F$6:$F$12,HyperMarkets!$C$6:$C$12,B17)</f>
        <v>169178.025124821</v>
      </c>
      <c r="H17" s="30" t="n">
        <f aca="false">MAX(1,CensusBase!M17-SUMIFS(HyperMarkets!$H$6:$H$12,HyperMarkets!$C$6:$C$12,B17))</f>
        <v>128716.274314456</v>
      </c>
      <c r="I17" s="30" t="n">
        <f aca="false">MAX(1,CensusBase!N17-SUMIFS(HyperMarkets!$I$6:$I$12,HyperMarkets!$C$6:$C$12,B17))</f>
        <v>169494.753221536</v>
      </c>
      <c r="J17" s="30" t="n">
        <f aca="false">MAX(1,CensusBase!O17-SUMIFS(HyperMarkets!$J$6:$J$12,HyperMarkets!$C$6:$C$12,B17))</f>
        <v>194499.127806971</v>
      </c>
      <c r="K17" s="24" t="n">
        <f aca="false">J17-I17</f>
        <v>25004.3745854348</v>
      </c>
      <c r="L17" s="24" t="n">
        <f aca="false">H17*Assumptions!$B$8/Assumptions!$B$7</f>
        <v>57207.2330286471</v>
      </c>
      <c r="M17" s="34" t="n">
        <f aca="false">IF(D17="S",Assumptions!$B$18,IF(D17="A",Assumptions!$B$19,IF(D17="B",Assumptions!$B$20,Assumptions!$B$21)))</f>
        <v>1.6</v>
      </c>
      <c r="N17" s="24" t="n">
        <f aca="false">I17*M17</f>
        <v>271191.605154457</v>
      </c>
      <c r="O17" s="24" t="n">
        <f aca="false">K17*M17</f>
        <v>40006.9993366956</v>
      </c>
      <c r="P17" s="24" t="n">
        <f aca="false">L17*M17</f>
        <v>91531.5728458353</v>
      </c>
    </row>
    <row r="18" customFormat="false" ht="15" hidden="false" customHeight="false" outlineLevel="0" collapsed="false">
      <c r="A18" s="29" t="str">
        <f aca="false">CensusBase!A18</f>
        <v>Multan</v>
      </c>
      <c r="B18" s="29" t="str">
        <f aca="false">CensusBase!B18</f>
        <v>Multan City</v>
      </c>
      <c r="C18" s="18" t="s">
        <v>135</v>
      </c>
      <c r="D18" s="29" t="str">
        <f aca="false">CensusBase!H18</f>
        <v>B</v>
      </c>
      <c r="E18" s="18" t="s">
        <v>242</v>
      </c>
      <c r="F18" s="30" t="n">
        <f aca="false">CensusBase!C18-SUMIFS(HyperMarkets!$E$6:$E$12,HyperMarkets!$C$6:$C$12,B18)</f>
        <v>304</v>
      </c>
      <c r="G18" s="30" t="n">
        <f aca="false">CensusBase!L18-SUMIFS(HyperMarkets!$F$6:$F$12,HyperMarkets!$C$6:$C$12,B18)</f>
        <v>449196.647908889</v>
      </c>
      <c r="H18" s="30" t="n">
        <f aca="false">MAX(1,CensusBase!M18-SUMIFS(HyperMarkets!$H$6:$H$12,HyperMarkets!$C$6:$C$12,B18))</f>
        <v>345490.034968818</v>
      </c>
      <c r="I18" s="30" t="n">
        <f aca="false">MAX(1,CensusBase!N18-SUMIFS(HyperMarkets!$I$6:$I$12,HyperMarkets!$C$6:$C$12,B18))</f>
        <v>407084.462167431</v>
      </c>
      <c r="J18" s="30" t="n">
        <f aca="false">MAX(1,CensusBase!O18-SUMIFS(HyperMarkets!$J$6:$J$12,HyperMarkets!$C$6:$C$12,B18))</f>
        <v>441884.763170424</v>
      </c>
      <c r="K18" s="24" t="n">
        <f aca="false">J18-I18</f>
        <v>34800.3010029932</v>
      </c>
      <c r="L18" s="24" t="n">
        <f aca="false">H18*Assumptions!$B$8/Assumptions!$B$7</f>
        <v>153551.126652808</v>
      </c>
      <c r="M18" s="34" t="n">
        <f aca="false">IF(D18="S",Assumptions!$B$18,IF(D18="A",Assumptions!$B$19,IF(D18="B",Assumptions!$B$20,Assumptions!$B$21)))</f>
        <v>1.6</v>
      </c>
      <c r="N18" s="24" t="n">
        <f aca="false">I18*M18</f>
        <v>651335.139467889</v>
      </c>
      <c r="O18" s="24" t="n">
        <f aca="false">K18*M18</f>
        <v>55680.4816047891</v>
      </c>
      <c r="P18" s="24" t="n">
        <f aca="false">L18*M18</f>
        <v>245681.802644493</v>
      </c>
    </row>
    <row r="19" customFormat="false" ht="15" hidden="false" customHeight="false" outlineLevel="0" collapsed="false">
      <c r="A19" s="29" t="str">
        <f aca="false">CensusBase!A19</f>
        <v>Multan</v>
      </c>
      <c r="B19" s="29" t="str">
        <f aca="false">CensusBase!B19</f>
        <v>Multan Saddar</v>
      </c>
      <c r="C19" s="18" t="s">
        <v>135</v>
      </c>
      <c r="D19" s="29" t="str">
        <f aca="false">CensusBase!H19</f>
        <v>C</v>
      </c>
      <c r="E19" s="18" t="s">
        <v>242</v>
      </c>
      <c r="F19" s="30" t="n">
        <f aca="false">CensusBase!C19-SUMIFS(HyperMarkets!$E$6:$E$12,HyperMarkets!$C$6:$C$12,B19)</f>
        <v>1596</v>
      </c>
      <c r="G19" s="30" t="n">
        <f aca="false">CensusBase!L19-SUMIFS(HyperMarkets!$F$6:$F$12,HyperMarkets!$C$6:$C$12,B19)</f>
        <v>264259.602083787</v>
      </c>
      <c r="H19" s="30" t="n">
        <f aca="false">MAX(1,CensusBase!M19-SUMIFS(HyperMarkets!$H$6:$H$12,HyperMarkets!$C$6:$C$12,B19))</f>
        <v>238470.200912916</v>
      </c>
      <c r="I19" s="30" t="n">
        <f aca="false">MAX(1,CensusBase!N19-SUMIFS(HyperMarkets!$I$6:$I$12,HyperMarkets!$C$6:$C$12,B19))</f>
        <v>285591.0192557</v>
      </c>
      <c r="J19" s="30" t="n">
        <f aca="false">MAX(1,CensusBase!O19-SUMIFS(HyperMarkets!$J$6:$J$12,HyperMarkets!$C$6:$C$12,B19))</f>
        <v>312518.591765909</v>
      </c>
      <c r="K19" s="24" t="n">
        <f aca="false">J19-I19</f>
        <v>26927.5725102097</v>
      </c>
      <c r="L19" s="24" t="n">
        <f aca="false">H19*Assumptions!$B$8/Assumptions!$B$7</f>
        <v>105986.755961296</v>
      </c>
      <c r="M19" s="34" t="n">
        <f aca="false">IF(D19="S",Assumptions!$B$18,IF(D19="A",Assumptions!$B$19,IF(D19="B",Assumptions!$B$20,Assumptions!$B$21)))</f>
        <v>1</v>
      </c>
      <c r="N19" s="24" t="n">
        <f aca="false">I19*M19</f>
        <v>285591.0192557</v>
      </c>
      <c r="O19" s="24" t="n">
        <f aca="false">K19*M19</f>
        <v>26927.5725102097</v>
      </c>
      <c r="P19" s="24" t="n">
        <f aca="false">L19*M19</f>
        <v>105986.755961296</v>
      </c>
    </row>
    <row r="20" customFormat="false" ht="15" hidden="false" customHeight="false" outlineLevel="0" collapsed="false">
      <c r="A20" s="29" t="str">
        <f aca="false">CensusBase!A20</f>
        <v>Multan</v>
      </c>
      <c r="B20" s="29" t="str">
        <f aca="false">CensusBase!B20</f>
        <v>Shujabad</v>
      </c>
      <c r="C20" s="18" t="s">
        <v>135</v>
      </c>
      <c r="D20" s="29" t="str">
        <f aca="false">CensusBase!H20</f>
        <v>C</v>
      </c>
      <c r="E20" s="18" t="s">
        <v>242</v>
      </c>
      <c r="F20" s="30" t="n">
        <f aca="false">CensusBase!C20-SUMIFS(HyperMarkets!$E$6:$E$12,HyperMarkets!$C$6:$C$12,B20)</f>
        <v>806</v>
      </c>
      <c r="G20" s="30" t="n">
        <f aca="false">CensusBase!L20-SUMIFS(HyperMarkets!$F$6:$F$12,HyperMarkets!$C$6:$C$12,B20)</f>
        <v>119316.344434012</v>
      </c>
      <c r="H20" s="30" t="n">
        <f aca="false">MAX(1,CensusBase!M20-SUMIFS(HyperMarkets!$H$6:$H$12,HyperMarkets!$C$6:$C$12,B20))</f>
        <v>113558.866152197</v>
      </c>
      <c r="I20" s="30" t="n">
        <f aca="false">MAX(1,CensusBase!N20-SUMIFS(HyperMarkets!$I$6:$I$12,HyperMarkets!$C$6:$C$12,B20))</f>
        <v>131963.876944018</v>
      </c>
      <c r="J20" s="30" t="n">
        <f aca="false">MAX(1,CensusBase!O20-SUMIFS(HyperMarkets!$J$6:$J$12,HyperMarkets!$C$6:$C$12,B20))</f>
        <v>142256.485600012</v>
      </c>
      <c r="K20" s="24" t="n">
        <f aca="false">J20-I20</f>
        <v>10292.6086559945</v>
      </c>
      <c r="L20" s="24" t="n">
        <f aca="false">H20*Assumptions!$B$8/Assumptions!$B$7</f>
        <v>50470.607178754</v>
      </c>
      <c r="M20" s="34" t="n">
        <f aca="false">IF(D20="S",Assumptions!$B$18,IF(D20="A",Assumptions!$B$19,IF(D20="B",Assumptions!$B$20,Assumptions!$B$21)))</f>
        <v>1</v>
      </c>
      <c r="N20" s="24" t="n">
        <f aca="false">I20*M20</f>
        <v>131963.876944018</v>
      </c>
      <c r="O20" s="24" t="n">
        <f aca="false">K20*M20</f>
        <v>10292.6086559945</v>
      </c>
      <c r="P20" s="24" t="n">
        <f aca="false">L20*M20</f>
        <v>50470.607178754</v>
      </c>
    </row>
    <row r="21" customFormat="false" ht="15" hidden="false" customHeight="false" outlineLevel="0" collapsed="false">
      <c r="A21" s="29" t="str">
        <f aca="false">CensusBase!A21</f>
        <v>Multan</v>
      </c>
      <c r="B21" s="29" t="str">
        <f aca="false">CensusBase!B21</f>
        <v>Jalalpur Pirwala</v>
      </c>
      <c r="C21" s="18" t="s">
        <v>135</v>
      </c>
      <c r="D21" s="29" t="str">
        <f aca="false">CensusBase!H21</f>
        <v>C</v>
      </c>
      <c r="E21" s="18" t="s">
        <v>242</v>
      </c>
      <c r="F21" s="30" t="n">
        <f aca="false">CensusBase!C21-SUMIFS(HyperMarkets!$E$6:$E$12,HyperMarkets!$C$6:$C$12,B21)</f>
        <v>978</v>
      </c>
      <c r="G21" s="30" t="n">
        <f aca="false">CensusBase!L21-SUMIFS(HyperMarkets!$F$6:$F$12,HyperMarkets!$C$6:$C$12,B21)</f>
        <v>105392.134353675</v>
      </c>
      <c r="H21" s="30" t="n">
        <f aca="false">MAX(1,CensusBase!M21-SUMIFS(HyperMarkets!$H$6:$H$12,HyperMarkets!$C$6:$C$12,B21))</f>
        <v>106175.628318074</v>
      </c>
      <c r="I21" s="30" t="n">
        <f aca="false">MAX(1,CensusBase!N21-SUMIFS(HyperMarkets!$I$6:$I$12,HyperMarkets!$C$6:$C$12,B21))</f>
        <v>120278.773331132</v>
      </c>
      <c r="J21" s="30" t="n">
        <f aca="false">MAX(1,CensusBase!O21-SUMIFS(HyperMarkets!$J$6:$J$12,HyperMarkets!$C$6:$C$12,B21))</f>
        <v>128018.00812055</v>
      </c>
      <c r="K21" s="24" t="n">
        <f aca="false">J21-I21</f>
        <v>7739.23478941762</v>
      </c>
      <c r="L21" s="24" t="n">
        <f aca="false">H21*Assumptions!$B$8/Assumptions!$B$7</f>
        <v>47189.1681413663</v>
      </c>
      <c r="M21" s="34" t="n">
        <f aca="false">IF(D21="S",Assumptions!$B$18,IF(D21="A",Assumptions!$B$19,IF(D21="B",Assumptions!$B$20,Assumptions!$B$21)))</f>
        <v>1</v>
      </c>
      <c r="N21" s="24" t="n">
        <f aca="false">I21*M21</f>
        <v>120278.773331132</v>
      </c>
      <c r="O21" s="24" t="n">
        <f aca="false">K21*M21</f>
        <v>7739.23478941762</v>
      </c>
      <c r="P21" s="24" t="n">
        <f aca="false">L21*M21</f>
        <v>47189.1681413663</v>
      </c>
    </row>
    <row r="22" customFormat="false" ht="15" hidden="false" customHeight="false" outlineLevel="0" collapsed="false">
      <c r="A22" s="29" t="str">
        <f aca="false">CensusBase!A22</f>
        <v>Peshawar</v>
      </c>
      <c r="B22" s="29" t="str">
        <f aca="false">CensusBase!B22</f>
        <v>Peshawar City</v>
      </c>
      <c r="C22" s="18" t="s">
        <v>135</v>
      </c>
      <c r="D22" s="29" t="str">
        <f aca="false">CensusBase!H22</f>
        <v>B</v>
      </c>
      <c r="E22" s="18" t="s">
        <v>240</v>
      </c>
      <c r="F22" s="30" t="n">
        <f aca="false">CensusBase!C22-SUMIFS(HyperMarkets!$E$6:$E$12,HyperMarkets!$C$6:$C$12,B22)</f>
        <v>149</v>
      </c>
      <c r="G22" s="30" t="n">
        <f aca="false">CensusBase!L22-SUMIFS(HyperMarkets!$F$6:$F$12,HyperMarkets!$C$6:$C$12,B22)</f>
        <v>301318.260869565</v>
      </c>
      <c r="H22" s="30" t="n">
        <f aca="false">MAX(1,CensusBase!M22-SUMIFS(HyperMarkets!$H$6:$H$12,HyperMarkets!$C$6:$C$12,B22))</f>
        <v>255048.256749659</v>
      </c>
      <c r="I22" s="30" t="n">
        <f aca="false">MAX(1,CensusBase!N22-SUMIFS(HyperMarkets!$I$6:$I$12,HyperMarkets!$C$6:$C$12,B22))</f>
        <v>253604.726086956</v>
      </c>
      <c r="J22" s="30" t="n">
        <f aca="false">MAX(1,CensusBase!O22-SUMIFS(HyperMarkets!$J$6:$J$12,HyperMarkets!$C$6:$C$12,B22))</f>
        <v>252719.588083206</v>
      </c>
      <c r="K22" s="24" t="n">
        <f aca="false">J22-I22</f>
        <v>-885.138003750006</v>
      </c>
      <c r="L22" s="24" t="n">
        <f aca="false">H22*Assumptions!$B$8/Assumptions!$B$7</f>
        <v>113354.780777626</v>
      </c>
      <c r="M22" s="34" t="n">
        <f aca="false">IF(D22="S",Assumptions!$B$18,IF(D22="A",Assumptions!$B$19,IF(D22="B",Assumptions!$B$20,Assumptions!$B$21)))</f>
        <v>1.6</v>
      </c>
      <c r="N22" s="24" t="n">
        <f aca="false">I22*M22</f>
        <v>405767.56173913</v>
      </c>
      <c r="O22" s="24" t="n">
        <f aca="false">K22*M22</f>
        <v>-1416.22080600001</v>
      </c>
      <c r="P22" s="24" t="n">
        <f aca="false">L22*M22</f>
        <v>181367.649244202</v>
      </c>
    </row>
    <row r="23" customFormat="false" ht="15" hidden="false" customHeight="false" outlineLevel="0" collapsed="false">
      <c r="A23" s="29" t="str">
        <f aca="false">CensusBase!A23</f>
        <v>Peshawar</v>
      </c>
      <c r="B23" s="29" t="str">
        <f aca="false">CensusBase!B23</f>
        <v>East Ring</v>
      </c>
      <c r="C23" s="18" t="s">
        <v>135</v>
      </c>
      <c r="D23" s="29" t="str">
        <f aca="false">CensusBase!H23</f>
        <v>C</v>
      </c>
      <c r="E23" s="18" t="s">
        <v>240</v>
      </c>
      <c r="F23" s="30" t="n">
        <f aca="false">CensusBase!C23-SUMIFS(HyperMarkets!$E$6:$E$12,HyperMarkets!$C$6:$C$12,B23)</f>
        <v>371</v>
      </c>
      <c r="G23" s="30" t="n">
        <f aca="false">CensusBase!L23-SUMIFS(HyperMarkets!$F$6:$F$12,HyperMarkets!$C$6:$C$12,B23)</f>
        <v>197386.237290115</v>
      </c>
      <c r="H23" s="30" t="n">
        <f aca="false">MAX(1,CensusBase!M23-SUMIFS(HyperMarkets!$H$6:$H$12,HyperMarkets!$C$6:$C$12,B23))</f>
        <v>162263.92428114</v>
      </c>
      <c r="I23" s="30" t="n">
        <f aca="false">MAX(1,CensusBase!N23-SUMIFS(HyperMarkets!$I$6:$I$12,HyperMarkets!$C$6:$C$12,B23))</f>
        <v>213670.60186655</v>
      </c>
      <c r="J23" s="30" t="n">
        <f aca="false">MAX(1,CensusBase!O23-SUMIFS(HyperMarkets!$J$6:$J$12,HyperMarkets!$C$6:$C$12,B23))</f>
        <v>245191.930199253</v>
      </c>
      <c r="K23" s="24" t="n">
        <f aca="false">J23-I23</f>
        <v>31521.328332703</v>
      </c>
      <c r="L23" s="24" t="n">
        <f aca="false">H23*Assumptions!$B$8/Assumptions!$B$7</f>
        <v>72117.2996805065</v>
      </c>
      <c r="M23" s="34" t="n">
        <f aca="false">IF(D23="S",Assumptions!$B$18,IF(D23="A",Assumptions!$B$19,IF(D23="B",Assumptions!$B$20,Assumptions!$B$21)))</f>
        <v>1</v>
      </c>
      <c r="N23" s="24" t="n">
        <f aca="false">I23*M23</f>
        <v>213670.60186655</v>
      </c>
      <c r="O23" s="24" t="n">
        <f aca="false">K23*M23</f>
        <v>31521.328332703</v>
      </c>
      <c r="P23" s="24" t="n">
        <f aca="false">L23*M23</f>
        <v>72117.2996805065</v>
      </c>
    </row>
    <row r="24" customFormat="false" ht="15" hidden="false" customHeight="false" outlineLevel="0" collapsed="false">
      <c r="A24" s="29" t="str">
        <f aca="false">CensusBase!A24</f>
        <v>Peshawar</v>
      </c>
      <c r="B24" s="29" t="str">
        <f aca="false">CensusBase!B24</f>
        <v>North-West Ring</v>
      </c>
      <c r="C24" s="18" t="s">
        <v>135</v>
      </c>
      <c r="D24" s="29" t="str">
        <f aca="false">CensusBase!H24</f>
        <v>C</v>
      </c>
      <c r="E24" s="18" t="s">
        <v>240</v>
      </c>
      <c r="F24" s="30" t="n">
        <f aca="false">CensusBase!C24-SUMIFS(HyperMarkets!$E$6:$E$12,HyperMarkets!$C$6:$C$12,B24)</f>
        <v>353</v>
      </c>
      <c r="G24" s="30" t="n">
        <f aca="false">CensusBase!L24-SUMIFS(HyperMarkets!$F$6:$F$12,HyperMarkets!$C$6:$C$12,B24)</f>
        <v>152445.416740057</v>
      </c>
      <c r="H24" s="30" t="n">
        <f aca="false">MAX(1,CensusBase!M24-SUMIFS(HyperMarkets!$H$6:$H$12,HyperMarkets!$C$6:$C$12,B24))</f>
        <v>129890.076460294</v>
      </c>
      <c r="I24" s="30" t="n">
        <f aca="false">MAX(1,CensusBase!N24-SUMIFS(HyperMarkets!$I$6:$I$12,HyperMarkets!$C$6:$C$12,B24))</f>
        <v>165022.163621112</v>
      </c>
      <c r="J24" s="30" t="n">
        <f aca="false">MAX(1,CensusBase!O24-SUMIFS(HyperMarkets!$J$6:$J$12,HyperMarkets!$C$6:$C$12,B24))</f>
        <v>186005.347118279</v>
      </c>
      <c r="K24" s="24" t="n">
        <f aca="false">J24-I24</f>
        <v>20983.1834971675</v>
      </c>
      <c r="L24" s="24" t="n">
        <f aca="false">H24*Assumptions!$B$8/Assumptions!$B$7</f>
        <v>57728.9228712419</v>
      </c>
      <c r="M24" s="34" t="n">
        <f aca="false">IF(D24="S",Assumptions!$B$18,IF(D24="A",Assumptions!$B$19,IF(D24="B",Assumptions!$B$20,Assumptions!$B$21)))</f>
        <v>1</v>
      </c>
      <c r="N24" s="24" t="n">
        <f aca="false">I24*M24</f>
        <v>165022.163621112</v>
      </c>
      <c r="O24" s="24" t="n">
        <f aca="false">K24*M24</f>
        <v>20983.1834971675</v>
      </c>
      <c r="P24" s="24" t="n">
        <f aca="false">L24*M24</f>
        <v>57728.9228712419</v>
      </c>
    </row>
    <row r="25" customFormat="false" ht="15" hidden="false" customHeight="false" outlineLevel="0" collapsed="false">
      <c r="A25" s="29" t="str">
        <f aca="false">CensusBase!A25</f>
        <v>Peshawar</v>
      </c>
      <c r="B25" s="29" t="str">
        <f aca="false">CensusBase!B25</f>
        <v>South Belt</v>
      </c>
      <c r="C25" s="18" t="s">
        <v>135</v>
      </c>
      <c r="D25" s="29" t="str">
        <f aca="false">CensusBase!H25</f>
        <v>C</v>
      </c>
      <c r="E25" s="18" t="s">
        <v>240</v>
      </c>
      <c r="F25" s="30" t="n">
        <f aca="false">CensusBase!C25-SUMIFS(HyperMarkets!$E$6:$E$12,HyperMarkets!$C$6:$C$12,B25)</f>
        <v>618</v>
      </c>
      <c r="G25" s="30" t="n">
        <f aca="false">CensusBase!L25-SUMIFS(HyperMarkets!$F$6:$F$12,HyperMarkets!$C$6:$C$12,B25)</f>
        <v>75983.3724209628</v>
      </c>
      <c r="H25" s="30" t="n">
        <f aca="false">MAX(1,CensusBase!M25-SUMIFS(HyperMarkets!$H$6:$H$12,HyperMarkets!$C$6:$C$12,B25))</f>
        <v>70596.7095654801</v>
      </c>
      <c r="I25" s="30" t="n">
        <f aca="false">MAX(1,CensusBase!N25-SUMIFS(HyperMarkets!$I$6:$I$12,HyperMarkets!$C$6:$C$12,B25))</f>
        <v>84037.6098975848</v>
      </c>
      <c r="J25" s="30" t="n">
        <f aca="false">MAX(1,CensusBase!O25-SUMIFS(HyperMarkets!$J$6:$J$12,HyperMarkets!$C$6:$C$12,B25))</f>
        <v>91689.2264023456</v>
      </c>
      <c r="K25" s="24" t="n">
        <f aca="false">J25-I25</f>
        <v>7651.61650476081</v>
      </c>
      <c r="L25" s="24" t="n">
        <f aca="false">H25*Assumptions!$B$8/Assumptions!$B$7</f>
        <v>31376.3153624356</v>
      </c>
      <c r="M25" s="34" t="n">
        <f aca="false">IF(D25="S",Assumptions!$B$18,IF(D25="A",Assumptions!$B$19,IF(D25="B",Assumptions!$B$20,Assumptions!$B$21)))</f>
        <v>1</v>
      </c>
      <c r="N25" s="24" t="n">
        <f aca="false">I25*M25</f>
        <v>84037.6098975848</v>
      </c>
      <c r="O25" s="24" t="n">
        <f aca="false">K25*M25</f>
        <v>7651.61650476081</v>
      </c>
      <c r="P25" s="24" t="n">
        <f aca="false">L25*M25</f>
        <v>31376.3153624356</v>
      </c>
    </row>
    <row r="26" customFormat="false" ht="15" hidden="false" customHeight="false" outlineLevel="0" collapsed="false">
      <c r="A26" s="29" t="str">
        <f aca="false">CensusBase!A26</f>
        <v>Islamabad</v>
      </c>
      <c r="B26" s="29" t="str">
        <f aca="false">CensusBase!B26</f>
        <v>ICT Rural belt</v>
      </c>
      <c r="C26" s="18" t="s">
        <v>135</v>
      </c>
      <c r="D26" s="29" t="str">
        <f aca="false">CensusBase!H26</f>
        <v>B</v>
      </c>
      <c r="E26" s="18" t="s">
        <v>238</v>
      </c>
      <c r="F26" s="30" t="n">
        <f aca="false">CensusBase!C26-SUMIFS(HyperMarkets!$E$6:$E$12,HyperMarkets!$C$6:$C$12,B26)</f>
        <v>648</v>
      </c>
      <c r="G26" s="30" t="n">
        <f aca="false">CensusBase!L26-SUMIFS(HyperMarkets!$F$6:$F$12,HyperMarkets!$C$6:$C$12,B26)</f>
        <v>236110.693800724</v>
      </c>
      <c r="H26" s="30" t="n">
        <f aca="false">MAX(1,CensusBase!M26-SUMIFS(HyperMarkets!$H$6:$H$12,HyperMarkets!$C$6:$C$12,B26))</f>
        <v>182492.917372931</v>
      </c>
      <c r="I26" s="30" t="n">
        <f aca="false">MAX(1,CensusBase!N26-SUMIFS(HyperMarkets!$I$6:$I$12,HyperMarkets!$C$6:$C$12,B26))</f>
        <v>240308.322778491</v>
      </c>
      <c r="J26" s="30" t="n">
        <f aca="false">MAX(1,CensusBase!O26-SUMIFS(HyperMarkets!$J$6:$J$12,HyperMarkets!$C$6:$C$12,B26))</f>
        <v>275759.327629935</v>
      </c>
      <c r="K26" s="24" t="n">
        <f aca="false">J26-I26</f>
        <v>35451.0048514439</v>
      </c>
      <c r="L26" s="24" t="n">
        <f aca="false">H26*Assumptions!$B$8/Assumptions!$B$7</f>
        <v>81107.9632768581</v>
      </c>
      <c r="M26" s="34" t="n">
        <f aca="false">IF(D26="S",Assumptions!$B$18,IF(D26="A",Assumptions!$B$19,IF(D26="B",Assumptions!$B$20,Assumptions!$B$21)))</f>
        <v>1.6</v>
      </c>
      <c r="N26" s="24" t="n">
        <f aca="false">I26*M26</f>
        <v>384493.316445585</v>
      </c>
      <c r="O26" s="24" t="n">
        <f aca="false">K26*M26</f>
        <v>56721.6077623102</v>
      </c>
      <c r="P26" s="24" t="n">
        <f aca="false">L26*M26</f>
        <v>129772.741242973</v>
      </c>
    </row>
    <row r="27" customFormat="false" ht="15" hidden="false" customHeight="false" outlineLevel="0" collapsed="false">
      <c r="A27" s="29" t="str">
        <f aca="false">CensusBase!A27</f>
        <v>Islamabad</v>
      </c>
      <c r="B27" s="29" t="str">
        <f aca="false">CensusBase!B27</f>
        <v>ICT Urban</v>
      </c>
      <c r="C27" s="18" t="s">
        <v>135</v>
      </c>
      <c r="D27" s="29" t="str">
        <f aca="false">CensusBase!H27</f>
        <v>A</v>
      </c>
      <c r="E27" s="18" t="s">
        <v>238</v>
      </c>
      <c r="F27" s="30" t="n">
        <f aca="false">CensusBase!C27-SUMIFS(HyperMarkets!$E$6:$E$12,HyperMarkets!$C$6:$C$12,B27)</f>
        <v>206</v>
      </c>
      <c r="G27" s="30" t="n">
        <f aca="false">CensusBase!L27-SUMIFS(HyperMarkets!$F$6:$F$12,HyperMarkets!$C$6:$C$12,B27)</f>
        <v>203353.518694306</v>
      </c>
      <c r="H27" s="30" t="n">
        <f aca="false">MAX(1,CensusBase!M27-SUMIFS(HyperMarkets!$H$6:$H$12,HyperMarkets!$C$6:$C$12,B27))</f>
        <v>131902.857843643</v>
      </c>
      <c r="I27" s="30" t="n">
        <f aca="false">MAX(1,CensusBase!N27-SUMIFS(HyperMarkets!$I$6:$I$12,HyperMarkets!$C$6:$C$12,B27))</f>
        <v>148448.068646844</v>
      </c>
      <c r="J27" s="30" t="n">
        <f aca="false">MAX(1,CensusBase!O27-SUMIFS(HyperMarkets!$J$6:$J$12,HyperMarkets!$C$6:$C$12,B27))</f>
        <v>157483.379132955</v>
      </c>
      <c r="K27" s="24" t="n">
        <f aca="false">J27-I27</f>
        <v>9035.3104861113</v>
      </c>
      <c r="L27" s="24" t="n">
        <f aca="false">H27*Assumptions!$B$8/Assumptions!$B$7</f>
        <v>58623.4923749522</v>
      </c>
      <c r="M27" s="34" t="n">
        <f aca="false">IF(D27="S",Assumptions!$B$18,IF(D27="A",Assumptions!$B$19,IF(D27="B",Assumptions!$B$20,Assumptions!$B$21)))</f>
        <v>3</v>
      </c>
      <c r="N27" s="24" t="n">
        <f aca="false">I27*M27</f>
        <v>445344.205940531</v>
      </c>
      <c r="O27" s="24" t="n">
        <f aca="false">K27*M27</f>
        <v>27105.9314583339</v>
      </c>
      <c r="P27" s="24" t="n">
        <f aca="false">L27*M27</f>
        <v>175870.477124857</v>
      </c>
    </row>
    <row r="28" customFormat="false" ht="15" hidden="false" customHeight="false" outlineLevel="0" collapsed="false">
      <c r="A28" s="29" t="str">
        <f aca="false">HyperMarkets!B6</f>
        <v>Karachi</v>
      </c>
      <c r="B28" s="29" t="str">
        <f aca="false">HyperMarkets!A6</f>
        <v>DHA Phase VIII + Sahil</v>
      </c>
      <c r="C28" s="18" t="s">
        <v>272</v>
      </c>
      <c r="D28" s="18" t="s">
        <v>273</v>
      </c>
      <c r="E28" s="29" t="str">
        <f aca="false">HyperMarkets!D6</f>
        <v>KHI-1</v>
      </c>
      <c r="F28" s="30" t="n">
        <f aca="false">HyperMarkets!E6</f>
        <v>38</v>
      </c>
      <c r="G28" s="30" t="n">
        <f aca="false">HyperMarkets!F6</f>
        <v>12000</v>
      </c>
      <c r="H28" s="30" t="n">
        <f aca="false">HyperMarkets!H6</f>
        <v>10935.526409514</v>
      </c>
      <c r="I28" s="30" t="n">
        <f aca="false">HyperMarkets!I6</f>
        <v>14400</v>
      </c>
      <c r="J28" s="30" t="n">
        <f aca="false">HyperMarkets!J6</f>
        <v>16524.331209</v>
      </c>
      <c r="K28" s="24" t="n">
        <f aca="false">J28-I28</f>
        <v>2124.331209</v>
      </c>
      <c r="L28" s="24" t="n">
        <f aca="false">H28*Assumptions!$B$8/Assumptions!$B$7</f>
        <v>4860.233959784</v>
      </c>
      <c r="M28" s="34" t="n">
        <f aca="false">IF(D28="S",Assumptions!$B$18,IF(D28="A",Assumptions!$B$19,IF(D28="B",Assumptions!$B$20,Assumptions!$B$21)))</f>
        <v>8</v>
      </c>
      <c r="N28" s="24" t="n">
        <f aca="false">I28*M28</f>
        <v>115200</v>
      </c>
      <c r="O28" s="24" t="n">
        <f aca="false">K28*M28</f>
        <v>16994.649672</v>
      </c>
      <c r="P28" s="24" t="n">
        <f aca="false">L28*M28</f>
        <v>38881.871678272</v>
      </c>
    </row>
    <row r="29" customFormat="false" ht="15" hidden="false" customHeight="false" outlineLevel="0" collapsed="false">
      <c r="A29" s="29" t="str">
        <f aca="false">HyperMarkets!B7</f>
        <v>Karachi</v>
      </c>
      <c r="B29" s="29" t="str">
        <f aca="false">HyperMarkets!A7</f>
        <v>Bahria Town Karachi</v>
      </c>
      <c r="C29" s="18" t="s">
        <v>272</v>
      </c>
      <c r="D29" s="18" t="s">
        <v>273</v>
      </c>
      <c r="E29" s="29" t="str">
        <f aca="false">HyperMarkets!D7</f>
        <v>KHI-4</v>
      </c>
      <c r="F29" s="30" t="n">
        <f aca="false">HyperMarkets!E7</f>
        <v>186</v>
      </c>
      <c r="G29" s="30" t="n">
        <f aca="false">HyperMarkets!F7</f>
        <v>9000</v>
      </c>
      <c r="H29" s="30" t="n">
        <f aca="false">HyperMarkets!H7</f>
        <v>8201.64480713551</v>
      </c>
      <c r="I29" s="30" t="n">
        <f aca="false">HyperMarkets!I7</f>
        <v>10800</v>
      </c>
      <c r="J29" s="30" t="n">
        <f aca="false">HyperMarkets!J7</f>
        <v>12393.24840675</v>
      </c>
      <c r="K29" s="24" t="n">
        <f aca="false">J29-I29</f>
        <v>1593.24840675</v>
      </c>
      <c r="L29" s="24" t="n">
        <f aca="false">H29*Assumptions!$B$8/Assumptions!$B$7</f>
        <v>3645.175469838</v>
      </c>
      <c r="M29" s="34" t="n">
        <f aca="false">IF(D29="S",Assumptions!$B$18,IF(D29="A",Assumptions!$B$19,IF(D29="B",Assumptions!$B$20,Assumptions!$B$21)))</f>
        <v>8</v>
      </c>
      <c r="N29" s="24" t="n">
        <f aca="false">I29*M29</f>
        <v>86400</v>
      </c>
      <c r="O29" s="24" t="n">
        <f aca="false">K29*M29</f>
        <v>12745.987254</v>
      </c>
      <c r="P29" s="24" t="n">
        <f aca="false">L29*M29</f>
        <v>29161.403758704</v>
      </c>
    </row>
    <row r="30" customFormat="false" ht="15" hidden="false" customHeight="false" outlineLevel="0" collapsed="false">
      <c r="A30" s="29" t="str">
        <f aca="false">HyperMarkets!B8</f>
        <v>Lahore</v>
      </c>
      <c r="B30" s="29" t="str">
        <f aca="false">HyperMarkets!A8</f>
        <v>DHA Lahore VII-IX + EME</v>
      </c>
      <c r="C30" s="18" t="s">
        <v>272</v>
      </c>
      <c r="D30" s="18" t="s">
        <v>273</v>
      </c>
      <c r="E30" s="29" t="str">
        <f aca="false">HyperMarkets!D8</f>
        <v>LHE-1</v>
      </c>
      <c r="F30" s="30" t="n">
        <f aca="false">HyperMarkets!E8</f>
        <v>61</v>
      </c>
      <c r="G30" s="30" t="n">
        <f aca="false">HyperMarkets!F8</f>
        <v>14000</v>
      </c>
      <c r="H30" s="30" t="n">
        <f aca="false">HyperMarkets!H8</f>
        <v>12758.114144433</v>
      </c>
      <c r="I30" s="30" t="n">
        <f aca="false">HyperMarkets!I8</f>
        <v>16800</v>
      </c>
      <c r="J30" s="30" t="n">
        <f aca="false">HyperMarkets!J8</f>
        <v>19278.3864105</v>
      </c>
      <c r="K30" s="24" t="n">
        <f aca="false">J30-I30</f>
        <v>2478.3864105</v>
      </c>
      <c r="L30" s="24" t="n">
        <f aca="false">H30*Assumptions!$B$8/Assumptions!$B$7</f>
        <v>5670.27295308134</v>
      </c>
      <c r="M30" s="34" t="n">
        <f aca="false">IF(D30="S",Assumptions!$B$18,IF(D30="A",Assumptions!$B$19,IF(D30="B",Assumptions!$B$20,Assumptions!$B$21)))</f>
        <v>8</v>
      </c>
      <c r="N30" s="24" t="n">
        <f aca="false">I30*M30</f>
        <v>134400</v>
      </c>
      <c r="O30" s="24" t="n">
        <f aca="false">K30*M30</f>
        <v>19827.091284</v>
      </c>
      <c r="P30" s="24" t="n">
        <f aca="false">L30*M30</f>
        <v>45362.1836246507</v>
      </c>
    </row>
    <row r="31" customFormat="false" ht="15" hidden="false" customHeight="false" outlineLevel="0" collapsed="false">
      <c r="A31" s="29" t="str">
        <f aca="false">HyperMarkets!B9</f>
        <v>Lahore</v>
      </c>
      <c r="B31" s="29" t="str">
        <f aca="false">HyperMarkets!A9</f>
        <v>Bahria Town Lahore + Lake City</v>
      </c>
      <c r="C31" s="18" t="s">
        <v>272</v>
      </c>
      <c r="D31" s="18" t="s">
        <v>273</v>
      </c>
      <c r="E31" s="29" t="str">
        <f aca="false">HyperMarkets!D9</f>
        <v>LHE-1</v>
      </c>
      <c r="F31" s="30" t="n">
        <f aca="false">HyperMarkets!E9</f>
        <v>45</v>
      </c>
      <c r="G31" s="30" t="n">
        <f aca="false">HyperMarkets!F9</f>
        <v>7000</v>
      </c>
      <c r="H31" s="30" t="n">
        <f aca="false">HyperMarkets!H9</f>
        <v>6379.05707221651</v>
      </c>
      <c r="I31" s="30" t="n">
        <f aca="false">HyperMarkets!I9</f>
        <v>8400</v>
      </c>
      <c r="J31" s="30" t="n">
        <f aca="false">HyperMarkets!J9</f>
        <v>9639.19320525</v>
      </c>
      <c r="K31" s="24" t="n">
        <f aca="false">J31-I31</f>
        <v>1239.19320525</v>
      </c>
      <c r="L31" s="24" t="n">
        <f aca="false">H31*Assumptions!$B$8/Assumptions!$B$7</f>
        <v>2835.13647654067</v>
      </c>
      <c r="M31" s="34" t="n">
        <f aca="false">IF(D31="S",Assumptions!$B$18,IF(D31="A",Assumptions!$B$19,IF(D31="B",Assumptions!$B$20,Assumptions!$B$21)))</f>
        <v>8</v>
      </c>
      <c r="N31" s="24" t="n">
        <f aca="false">I31*M31</f>
        <v>67200</v>
      </c>
      <c r="O31" s="24" t="n">
        <f aca="false">K31*M31</f>
        <v>9913.54564199998</v>
      </c>
      <c r="P31" s="24" t="n">
        <f aca="false">L31*M31</f>
        <v>22681.0918123254</v>
      </c>
    </row>
    <row r="32" customFormat="false" ht="15" hidden="false" customHeight="false" outlineLevel="0" collapsed="false">
      <c r="A32" s="29" t="str">
        <f aca="false">HyperMarkets!B10</f>
        <v>Islamabad</v>
      </c>
      <c r="B32" s="29" t="str">
        <f aca="false">HyperMarkets!A10</f>
        <v>DHA Islamabad + Bahria Enclave</v>
      </c>
      <c r="C32" s="18" t="s">
        <v>272</v>
      </c>
      <c r="D32" s="18" t="s">
        <v>273</v>
      </c>
      <c r="E32" s="29" t="str">
        <f aca="false">HyperMarkets!D10</f>
        <v>ISB-1</v>
      </c>
      <c r="F32" s="30" t="n">
        <f aca="false">HyperMarkets!E10</f>
        <v>52</v>
      </c>
      <c r="G32" s="30" t="n">
        <f aca="false">HyperMarkets!F10</f>
        <v>8000</v>
      </c>
      <c r="H32" s="30" t="n">
        <f aca="false">HyperMarkets!H10</f>
        <v>7290.35093967601</v>
      </c>
      <c r="I32" s="30" t="n">
        <f aca="false">HyperMarkets!I10</f>
        <v>9600</v>
      </c>
      <c r="J32" s="30" t="n">
        <f aca="false">HyperMarkets!J10</f>
        <v>11016.220806</v>
      </c>
      <c r="K32" s="24" t="n">
        <f aca="false">J32-I32</f>
        <v>1416.220806</v>
      </c>
      <c r="L32" s="24" t="n">
        <f aca="false">H32*Assumptions!$B$8/Assumptions!$B$7</f>
        <v>3240.15597318934</v>
      </c>
      <c r="M32" s="34" t="n">
        <f aca="false">IF(D32="S",Assumptions!$B$18,IF(D32="A",Assumptions!$B$19,IF(D32="B",Assumptions!$B$20,Assumptions!$B$21)))</f>
        <v>8</v>
      </c>
      <c r="N32" s="24" t="n">
        <f aca="false">I32*M32</f>
        <v>76800</v>
      </c>
      <c r="O32" s="24" t="n">
        <f aca="false">K32*M32</f>
        <v>11329.766448</v>
      </c>
      <c r="P32" s="24" t="n">
        <f aca="false">L32*M32</f>
        <v>25921.2477855147</v>
      </c>
    </row>
    <row r="33" customFormat="false" ht="15" hidden="false" customHeight="false" outlineLevel="0" collapsed="false">
      <c r="A33" s="29" t="str">
        <f aca="false">HyperMarkets!B11</f>
        <v>Peshawar</v>
      </c>
      <c r="B33" s="29" t="str">
        <f aca="false">HyperMarkets!A11</f>
        <v>Hayatabad Ph 6-7 + DHA Peshawar</v>
      </c>
      <c r="C33" s="18" t="s">
        <v>272</v>
      </c>
      <c r="D33" s="18" t="s">
        <v>273</v>
      </c>
      <c r="E33" s="29" t="str">
        <f aca="false">HyperMarkets!D11</f>
        <v>PEW-1</v>
      </c>
      <c r="F33" s="30" t="n">
        <f aca="false">HyperMarkets!E11</f>
        <v>27</v>
      </c>
      <c r="G33" s="30" t="n">
        <f aca="false">HyperMarkets!F11</f>
        <v>5000</v>
      </c>
      <c r="H33" s="30" t="n">
        <f aca="false">HyperMarkets!H11</f>
        <v>4556.4693372975</v>
      </c>
      <c r="I33" s="30" t="n">
        <f aca="false">HyperMarkets!I11</f>
        <v>6000</v>
      </c>
      <c r="J33" s="30" t="n">
        <f aca="false">HyperMarkets!J11</f>
        <v>6885.13800375</v>
      </c>
      <c r="K33" s="24" t="n">
        <f aca="false">J33-I33</f>
        <v>885.138003749998</v>
      </c>
      <c r="L33" s="24" t="n">
        <f aca="false">H33*Assumptions!$B$8/Assumptions!$B$7</f>
        <v>2025.09748324333</v>
      </c>
      <c r="M33" s="34" t="n">
        <f aca="false">IF(D33="S",Assumptions!$B$18,IF(D33="A",Assumptions!$B$19,IF(D33="B",Assumptions!$B$20,Assumptions!$B$21)))</f>
        <v>8</v>
      </c>
      <c r="N33" s="24" t="n">
        <f aca="false">I33*M33</f>
        <v>48000</v>
      </c>
      <c r="O33" s="24" t="n">
        <f aca="false">K33*M33</f>
        <v>7081.10402999998</v>
      </c>
      <c r="P33" s="24" t="n">
        <f aca="false">L33*M33</f>
        <v>16200.7798659467</v>
      </c>
    </row>
    <row r="34" customFormat="false" ht="15" hidden="false" customHeight="false" outlineLevel="0" collapsed="false">
      <c r="A34" s="29" t="str">
        <f aca="false">HyperMarkets!B12</f>
        <v>Multan</v>
      </c>
      <c r="B34" s="29" t="str">
        <f aca="false">HyperMarkets!A12</f>
        <v>DHA Multan</v>
      </c>
      <c r="C34" s="18" t="s">
        <v>272</v>
      </c>
      <c r="D34" s="18" t="s">
        <v>273</v>
      </c>
      <c r="E34" s="29" t="str">
        <f aca="false">HyperMarkets!D12</f>
        <v>MUX-1</v>
      </c>
      <c r="F34" s="30" t="n">
        <f aca="false">HyperMarkets!E12</f>
        <v>36</v>
      </c>
      <c r="G34" s="30" t="n">
        <f aca="false">HyperMarkets!F12</f>
        <v>4000</v>
      </c>
      <c r="H34" s="30" t="n">
        <f aca="false">HyperMarkets!H12</f>
        <v>3645.175469838</v>
      </c>
      <c r="I34" s="30" t="n">
        <f aca="false">HyperMarkets!I12</f>
        <v>4800</v>
      </c>
      <c r="J34" s="30" t="n">
        <f aca="false">HyperMarkets!J12</f>
        <v>5508.110403</v>
      </c>
      <c r="K34" s="24" t="n">
        <f aca="false">J34-I34</f>
        <v>708.110402999998</v>
      </c>
      <c r="L34" s="24" t="n">
        <f aca="false">H34*Assumptions!$B$8/Assumptions!$B$7</f>
        <v>1620.07798659467</v>
      </c>
      <c r="M34" s="34" t="n">
        <f aca="false">IF(D34="S",Assumptions!$B$18,IF(D34="A",Assumptions!$B$19,IF(D34="B",Assumptions!$B$20,Assumptions!$B$21)))</f>
        <v>8</v>
      </c>
      <c r="N34" s="24" t="n">
        <f aca="false">I34*M34</f>
        <v>38400</v>
      </c>
      <c r="O34" s="24" t="n">
        <f aca="false">K34*M34</f>
        <v>5664.88322399998</v>
      </c>
      <c r="P34" s="24" t="n">
        <f aca="false">L34*M34</f>
        <v>12960.6238927573</v>
      </c>
    </row>
    <row r="35" customFormat="false" ht="15" hidden="false" customHeight="false" outlineLevel="0" collapsed="false">
      <c r="A35" s="25"/>
      <c r="B35" s="26" t="s">
        <v>274</v>
      </c>
      <c r="C35" s="25"/>
      <c r="D35" s="25"/>
      <c r="E35" s="25"/>
      <c r="F35" s="13" t="n">
        <f aca="false">SUM(F6:F34)</f>
        <v>11443</v>
      </c>
      <c r="G35" s="13" t="n">
        <f aca="false">SUM(G6:G34)</f>
        <v>8143804.00294744</v>
      </c>
      <c r="H35" s="13" t="n">
        <f aca="false">SUM(H6:H34)</f>
        <v>5403067.82584891</v>
      </c>
      <c r="I35" s="13" t="n">
        <f aca="false">SUM(I6:I34)</f>
        <v>6692331.30388342</v>
      </c>
      <c r="J35" s="13" t="n">
        <f aca="false">SUM(J6:J34)</f>
        <v>7460577.77623628</v>
      </c>
      <c r="K35" s="13" t="n">
        <f aca="false">SUM(K6:K34)</f>
        <v>768246.472352851</v>
      </c>
      <c r="L35" s="13" t="n">
        <f aca="false">SUM(L6:L34)</f>
        <v>2401363.47815507</v>
      </c>
      <c r="M35" s="25"/>
      <c r="N35" s="13" t="n">
        <f aca="false">SUM(N6:N34)</f>
        <v>10120132.4852688</v>
      </c>
      <c r="O35" s="13" t="n">
        <f aca="false">SUM(O6:O34)</f>
        <v>1173441.34278671</v>
      </c>
      <c r="P35" s="13" t="n">
        <f aca="false">SUM(P6:P34)</f>
        <v>3624506.97486652</v>
      </c>
    </row>
  </sheetData>
  <mergeCells count="1">
    <mergeCell ref="A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2"/>
    <col collapsed="false" customWidth="true" hidden="false" outlineLevel="0" max="3" min="3" style="0" width="9"/>
    <col collapsed="false" customWidth="true" hidden="false" outlineLevel="0" max="4" min="4" style="0" width="7"/>
    <col collapsed="false" customWidth="true" hidden="false" outlineLevel="0" max="7" min="5" style="0" width="11"/>
    <col collapsed="false" customWidth="true" hidden="false" outlineLevel="0" max="8" min="8" style="0" width="18"/>
    <col collapsed="false" customWidth="true" hidden="false" outlineLevel="0" max="9" min="9" style="0" width="11"/>
    <col collapsed="false" customWidth="true" hidden="false" outlineLevel="0" max="10" min="10" style="0" width="18"/>
    <col collapsed="false" customWidth="true" hidden="false" outlineLevel="0" max="11" min="11" style="0" width="11"/>
    <col collapsed="false" customWidth="true" hidden="false" outlineLevel="0" max="12" min="12" style="0" width="17"/>
    <col collapsed="false" customWidth="true" hidden="false" outlineLevel="0" max="13" min="13" style="0" width="18"/>
    <col collapsed="false" customWidth="true" hidden="false" outlineLevel="0" max="14" min="14" style="0" width="12"/>
  </cols>
  <sheetData>
    <row r="1" customFormat="false" ht="17.35" hidden="false" customHeight="false" outlineLevel="0" collapsed="false">
      <c r="A1" s="1" t="s">
        <v>275</v>
      </c>
    </row>
    <row r="2" customFormat="false" ht="31.5" hidden="false" customHeight="true" outlineLevel="0" collapsed="false">
      <c r="A2" s="5" t="s">
        <v>276</v>
      </c>
      <c r="B2" s="5"/>
      <c r="C2" s="5"/>
      <c r="D2" s="5"/>
      <c r="E2" s="5"/>
      <c r="F2" s="5"/>
      <c r="G2" s="5"/>
      <c r="H2" s="5"/>
      <c r="I2" s="5"/>
      <c r="J2" s="5"/>
      <c r="K2" s="5"/>
      <c r="L2" s="5"/>
      <c r="M2" s="5"/>
      <c r="N2" s="5"/>
    </row>
    <row r="4" customFormat="false" ht="30" hidden="false" customHeight="true" outlineLevel="0" collapsed="false">
      <c r="A4" s="16" t="s">
        <v>134</v>
      </c>
      <c r="B4" s="16" t="s">
        <v>246</v>
      </c>
      <c r="C4" s="16" t="s">
        <v>247</v>
      </c>
      <c r="D4" s="16" t="s">
        <v>248</v>
      </c>
      <c r="E4" s="16" t="s">
        <v>220</v>
      </c>
      <c r="F4" s="16" t="s">
        <v>277</v>
      </c>
      <c r="G4" s="16" t="s">
        <v>278</v>
      </c>
      <c r="H4" s="16" t="s">
        <v>279</v>
      </c>
      <c r="I4" s="16" t="s">
        <v>280</v>
      </c>
      <c r="J4" s="16" t="s">
        <v>281</v>
      </c>
      <c r="K4" s="16" t="s">
        <v>282</v>
      </c>
      <c r="L4" s="16" t="s">
        <v>283</v>
      </c>
      <c r="M4" s="16" t="s">
        <v>284</v>
      </c>
      <c r="N4" s="16" t="s">
        <v>285</v>
      </c>
    </row>
    <row r="5" customFormat="false" ht="61.5" hidden="false" customHeight="true" outlineLevel="0" collapsed="false">
      <c r="A5" s="17"/>
      <c r="B5" s="17"/>
      <c r="C5" s="17"/>
      <c r="D5" s="17"/>
      <c r="E5" s="17"/>
      <c r="F5" s="17" t="s">
        <v>286</v>
      </c>
      <c r="G5" s="17" t="s">
        <v>287</v>
      </c>
      <c r="H5" s="17" t="s">
        <v>288</v>
      </c>
      <c r="I5" s="17" t="s">
        <v>289</v>
      </c>
      <c r="J5" s="17" t="s">
        <v>290</v>
      </c>
      <c r="K5" s="17" t="s">
        <v>289</v>
      </c>
      <c r="L5" s="17" t="s">
        <v>291</v>
      </c>
      <c r="M5" s="17" t="s">
        <v>292</v>
      </c>
      <c r="N5" s="17" t="s">
        <v>293</v>
      </c>
    </row>
    <row r="6" customFormat="false" ht="15" hidden="false" customHeight="false" outlineLevel="0" collapsed="false">
      <c r="A6" s="29" t="str">
        <f aca="false">PumpPoints!A6</f>
        <v>Karachi</v>
      </c>
      <c r="B6" s="29" t="str">
        <f aca="false">PumpPoints!B6</f>
        <v>Karachi East</v>
      </c>
      <c r="C6" s="29" t="str">
        <f aca="false">PumpPoints!C6</f>
        <v>Region</v>
      </c>
      <c r="D6" s="29" t="str">
        <f aca="false">PumpPoints!D6</f>
        <v>B</v>
      </c>
      <c r="E6" s="29" t="str">
        <f aca="false">PumpPoints!E6</f>
        <v>KHI-2</v>
      </c>
      <c r="F6" s="23" t="n">
        <f aca="false">100*(Assumptions!$B$30*PumpPoints!O6/PumpPoints!$O$35+Assumptions!$B$31*PumpPoints!P6/PumpPoints!$P$35+Assumptions!$B$32*PumpPoints!N6/PumpPoints!$N$35+Assumptions!$B$33*PumpPoints!F6/PumpPoints!$F$35)</f>
        <v>5.40987688498748</v>
      </c>
      <c r="G6" s="22" t="n">
        <f aca="false">F6/100</f>
        <v>0.0540987688498748</v>
      </c>
      <c r="H6" s="24" t="n">
        <f aca="false">F6*Assumptions!$B$42</f>
        <v>5724944.41922657</v>
      </c>
      <c r="I6" s="23" t="n">
        <f aca="false">H6/10000000</f>
        <v>0.572494441922657</v>
      </c>
      <c r="J6" s="24" t="n">
        <f aca="false">F6*Assumptions!$B$43</f>
        <v>66813983.1433407</v>
      </c>
      <c r="K6" s="23" t="n">
        <f aca="false">J6/10000000</f>
        <v>6.68139831433407</v>
      </c>
      <c r="L6" s="35" t="n">
        <f aca="false">F6*Assumptions!$B$44</f>
        <v>5724944.41922657</v>
      </c>
      <c r="M6" s="24" t="n">
        <f aca="false">L6*Assumptions!$B$14</f>
        <v>2862472.20961328</v>
      </c>
      <c r="N6" s="24" t="n">
        <f aca="false">M6/Assumptions!$B$12</f>
        <v>22.8997776769063</v>
      </c>
    </row>
    <row r="7" customFormat="false" ht="15" hidden="false" customHeight="false" outlineLevel="0" collapsed="false">
      <c r="A7" s="29" t="str">
        <f aca="false">PumpPoints!A7</f>
        <v>Karachi</v>
      </c>
      <c r="B7" s="29" t="str">
        <f aca="false">PumpPoints!B7</f>
        <v>Karachi Central</v>
      </c>
      <c r="C7" s="29" t="str">
        <f aca="false">PumpPoints!C7</f>
        <v>Region</v>
      </c>
      <c r="D7" s="29" t="str">
        <f aca="false">PumpPoints!D7</f>
        <v>C</v>
      </c>
      <c r="E7" s="29" t="str">
        <f aca="false">PumpPoints!E7</f>
        <v>KHI-3</v>
      </c>
      <c r="F7" s="23" t="n">
        <f aca="false">100*(Assumptions!$B$30*PumpPoints!O7/PumpPoints!$O$35+Assumptions!$B$31*PumpPoints!P7/PumpPoints!$P$35+Assumptions!$B$32*PumpPoints!N7/PumpPoints!$N$35+Assumptions!$B$33*PumpPoints!F7/PumpPoints!$F$35)</f>
        <v>4.23756081667414</v>
      </c>
      <c r="G7" s="22" t="n">
        <f aca="false">F7/100</f>
        <v>0.0423756081667414</v>
      </c>
      <c r="H7" s="24" t="n">
        <f aca="false">F7*Assumptions!$B$42</f>
        <v>4484353.46391583</v>
      </c>
      <c r="I7" s="23" t="n">
        <f aca="false">H7/10000000</f>
        <v>0.448435346391583</v>
      </c>
      <c r="J7" s="24" t="n">
        <f aca="false">F7*Assumptions!$B$43</f>
        <v>52335445.5181474</v>
      </c>
      <c r="K7" s="23" t="n">
        <f aca="false">J7/10000000</f>
        <v>5.23354455181474</v>
      </c>
      <c r="L7" s="35" t="n">
        <f aca="false">F7*Assumptions!$B$44</f>
        <v>4484353.46391583</v>
      </c>
      <c r="M7" s="24" t="n">
        <f aca="false">L7*Assumptions!$B$14</f>
        <v>2242176.73195792</v>
      </c>
      <c r="N7" s="24" t="n">
        <f aca="false">M7/Assumptions!$B$12</f>
        <v>17.9374138556633</v>
      </c>
    </row>
    <row r="8" customFormat="false" ht="15" hidden="false" customHeight="false" outlineLevel="0" collapsed="false">
      <c r="A8" s="29" t="str">
        <f aca="false">PumpPoints!A8</f>
        <v>Karachi</v>
      </c>
      <c r="B8" s="29" t="str">
        <f aca="false">PumpPoints!B8</f>
        <v>Korangi</v>
      </c>
      <c r="C8" s="29" t="str">
        <f aca="false">PumpPoints!C8</f>
        <v>Region</v>
      </c>
      <c r="D8" s="29" t="str">
        <f aca="false">PumpPoints!D8</f>
        <v>C</v>
      </c>
      <c r="E8" s="29" t="str">
        <f aca="false">PumpPoints!E8</f>
        <v>KHI-2</v>
      </c>
      <c r="F8" s="23" t="n">
        <f aca="false">100*(Assumptions!$B$30*PumpPoints!O8/PumpPoints!$O$35+Assumptions!$B$31*PumpPoints!P8/PumpPoints!$P$35+Assumptions!$B$32*PumpPoints!N8/PumpPoints!$N$35+Assumptions!$B$33*PumpPoints!F8/PumpPoints!$F$35)</f>
        <v>4.07668388836104</v>
      </c>
      <c r="G8" s="22" t="n">
        <f aca="false">F8/100</f>
        <v>0.0407668388836104</v>
      </c>
      <c r="H8" s="24" t="n">
        <f aca="false">F8*Assumptions!$B$42</f>
        <v>4314107.17319446</v>
      </c>
      <c r="I8" s="23" t="n">
        <f aca="false">H8/10000000</f>
        <v>0.431410717319446</v>
      </c>
      <c r="J8" s="24" t="n">
        <f aca="false">F8*Assumptions!$B$43</f>
        <v>50348555.8707523</v>
      </c>
      <c r="K8" s="23" t="n">
        <f aca="false">J8/10000000</f>
        <v>5.03485558707523</v>
      </c>
      <c r="L8" s="35" t="n">
        <f aca="false">F8*Assumptions!$B$44</f>
        <v>4314107.17319446</v>
      </c>
      <c r="M8" s="24" t="n">
        <f aca="false">L8*Assumptions!$B$14</f>
        <v>2157053.58659723</v>
      </c>
      <c r="N8" s="24" t="n">
        <f aca="false">M8/Assumptions!$B$12</f>
        <v>17.2564286927779</v>
      </c>
    </row>
    <row r="9" customFormat="false" ht="15" hidden="false" customHeight="false" outlineLevel="0" collapsed="false">
      <c r="A9" s="29" t="str">
        <f aca="false">PumpPoints!A9</f>
        <v>Karachi</v>
      </c>
      <c r="B9" s="29" t="str">
        <f aca="false">PumpPoints!B9</f>
        <v>Karachi West</v>
      </c>
      <c r="C9" s="29" t="str">
        <f aca="false">PumpPoints!C9</f>
        <v>Region</v>
      </c>
      <c r="D9" s="29" t="str">
        <f aca="false">PumpPoints!D9</f>
        <v>C</v>
      </c>
      <c r="E9" s="29" t="str">
        <f aca="false">PumpPoints!E9</f>
        <v>KHI-3</v>
      </c>
      <c r="F9" s="23" t="n">
        <f aca="false">100*(Assumptions!$B$30*PumpPoints!O9/PumpPoints!$O$35+Assumptions!$B$31*PumpPoints!P9/PumpPoints!$P$35+Assumptions!$B$32*PumpPoints!N9/PumpPoints!$N$35+Assumptions!$B$33*PumpPoints!F9/PumpPoints!$F$35)</f>
        <v>4.75471676595743</v>
      </c>
      <c r="G9" s="22" t="n">
        <f aca="false">F9/100</f>
        <v>0.0475471676595743</v>
      </c>
      <c r="H9" s="24" t="n">
        <f aca="false">F9*Assumptions!$B$42</f>
        <v>5031628.22241083</v>
      </c>
      <c r="I9" s="23" t="n">
        <f aca="false">H9/10000000</f>
        <v>0.503162822241083</v>
      </c>
      <c r="J9" s="24" t="n">
        <f aca="false">F9*Assumptions!$B$43</f>
        <v>58722513.0267959</v>
      </c>
      <c r="K9" s="23" t="n">
        <f aca="false">J9/10000000</f>
        <v>5.87225130267959</v>
      </c>
      <c r="L9" s="35" t="n">
        <f aca="false">F9*Assumptions!$B$44</f>
        <v>5031628.22241083</v>
      </c>
      <c r="M9" s="24" t="n">
        <f aca="false">L9*Assumptions!$B$14</f>
        <v>2515814.11120541</v>
      </c>
      <c r="N9" s="24" t="n">
        <f aca="false">M9/Assumptions!$B$12</f>
        <v>20.1265128896433</v>
      </c>
    </row>
    <row r="10" customFormat="false" ht="15" hidden="false" customHeight="false" outlineLevel="0" collapsed="false">
      <c r="A10" s="29" t="str">
        <f aca="false">PumpPoints!A10</f>
        <v>Karachi</v>
      </c>
      <c r="B10" s="29" t="str">
        <f aca="false">PumpPoints!B10</f>
        <v>Malir</v>
      </c>
      <c r="C10" s="29" t="str">
        <f aca="false">PumpPoints!C10</f>
        <v>Region</v>
      </c>
      <c r="D10" s="29" t="str">
        <f aca="false">PumpPoints!D10</f>
        <v>B</v>
      </c>
      <c r="E10" s="29" t="str">
        <f aca="false">PumpPoints!E10</f>
        <v>KHI-4</v>
      </c>
      <c r="F10" s="23" t="n">
        <f aca="false">100*(Assumptions!$B$30*PumpPoints!O10/PumpPoints!$O$35+Assumptions!$B$31*PumpPoints!P10/PumpPoints!$P$35+Assumptions!$B$32*PumpPoints!N10/PumpPoints!$N$35+Assumptions!$B$33*PumpPoints!F10/PumpPoints!$F$35)</f>
        <v>7.81634516992568</v>
      </c>
      <c r="G10" s="22" t="n">
        <f aca="false">F10/100</f>
        <v>0.0781634516992568</v>
      </c>
      <c r="H10" s="24" t="n">
        <f aca="false">F10*Assumptions!$B$42</f>
        <v>8271563.77319632</v>
      </c>
      <c r="I10" s="23" t="n">
        <f aca="false">H10/10000000</f>
        <v>0.827156377319632</v>
      </c>
      <c r="J10" s="24" t="n">
        <f aca="false">F10*Assumptions!$B$43</f>
        <v>96534757.7271449</v>
      </c>
      <c r="K10" s="23" t="n">
        <f aca="false">J10/10000000</f>
        <v>9.65347577271449</v>
      </c>
      <c r="L10" s="35" t="n">
        <f aca="false">F10*Assumptions!$B$44</f>
        <v>8271563.77319632</v>
      </c>
      <c r="M10" s="24" t="n">
        <f aca="false">L10*Assumptions!$B$14</f>
        <v>4135781.88659816</v>
      </c>
      <c r="N10" s="24" t="n">
        <f aca="false">M10/Assumptions!$B$12</f>
        <v>33.0862550927853</v>
      </c>
    </row>
    <row r="11" customFormat="false" ht="15" hidden="false" customHeight="false" outlineLevel="0" collapsed="false">
      <c r="A11" s="29" t="str">
        <f aca="false">PumpPoints!A11</f>
        <v>Karachi</v>
      </c>
      <c r="B11" s="29" t="str">
        <f aca="false">PumpPoints!B11</f>
        <v>Karachi South</v>
      </c>
      <c r="C11" s="29" t="str">
        <f aca="false">PumpPoints!C11</f>
        <v>Region</v>
      </c>
      <c r="D11" s="29" t="str">
        <f aca="false">PumpPoints!D11</f>
        <v>A</v>
      </c>
      <c r="E11" s="29" t="str">
        <f aca="false">PumpPoints!E11</f>
        <v>KHI-1</v>
      </c>
      <c r="F11" s="23" t="n">
        <f aca="false">100*(Assumptions!$B$30*PumpPoints!O11/PumpPoints!$O$35+Assumptions!$B$31*PumpPoints!P11/PumpPoints!$P$35+Assumptions!$B$32*PumpPoints!N11/PumpPoints!$N$35+Assumptions!$B$33*PumpPoints!F11/PumpPoints!$F$35)</f>
        <v>9.60419387564752</v>
      </c>
      <c r="G11" s="22" t="n">
        <f aca="false">F11/100</f>
        <v>0.0960419387564752</v>
      </c>
      <c r="H11" s="24" t="n">
        <f aca="false">F11*Assumptions!$B$42</f>
        <v>10163535.5662415</v>
      </c>
      <c r="I11" s="23" t="n">
        <f aca="false">H11/10000000</f>
        <v>1.01635355662415</v>
      </c>
      <c r="J11" s="24" t="n">
        <f aca="false">F11*Assumptions!$B$43</f>
        <v>118615351.394337</v>
      </c>
      <c r="K11" s="23" t="n">
        <f aca="false">J11/10000000</f>
        <v>11.8615351394337</v>
      </c>
      <c r="L11" s="35" t="n">
        <f aca="false">F11*Assumptions!$B$44</f>
        <v>10163535.5662415</v>
      </c>
      <c r="M11" s="24" t="n">
        <f aca="false">L11*Assumptions!$B$14</f>
        <v>5081767.78312077</v>
      </c>
      <c r="N11" s="24" t="n">
        <f aca="false">M11/Assumptions!$B$12</f>
        <v>40.6541422649662</v>
      </c>
    </row>
    <row r="12" customFormat="false" ht="15" hidden="false" customHeight="false" outlineLevel="0" collapsed="false">
      <c r="A12" s="29" t="str">
        <f aca="false">PumpPoints!A12</f>
        <v>Karachi</v>
      </c>
      <c r="B12" s="29" t="str">
        <f aca="false">PumpPoints!B12</f>
        <v>Keamari</v>
      </c>
      <c r="C12" s="29" t="str">
        <f aca="false">PumpPoints!C12</f>
        <v>Region</v>
      </c>
      <c r="D12" s="29" t="str">
        <f aca="false">PumpPoints!D12</f>
        <v>C</v>
      </c>
      <c r="E12" s="29" t="str">
        <f aca="false">PumpPoints!E12</f>
        <v>KHI-3</v>
      </c>
      <c r="F12" s="23" t="n">
        <f aca="false">100*(Assumptions!$B$30*PumpPoints!O12/PumpPoints!$O$35+Assumptions!$B$31*PumpPoints!P12/PumpPoints!$P$35+Assumptions!$B$32*PumpPoints!N12/PumpPoints!$N$35+Assumptions!$B$33*PumpPoints!F12/PumpPoints!$F$35)</f>
        <v>2.68821804368842</v>
      </c>
      <c r="G12" s="22" t="n">
        <f aca="false">F12/100</f>
        <v>0.0268821804368842</v>
      </c>
      <c r="H12" s="24" t="n">
        <f aca="false">F12*Assumptions!$B$42</f>
        <v>2844778.02620342</v>
      </c>
      <c r="I12" s="23" t="n">
        <f aca="false">H12/10000000</f>
        <v>0.284477802620342</v>
      </c>
      <c r="J12" s="24" t="n">
        <f aca="false">F12*Assumptions!$B$43</f>
        <v>33200488.4538215</v>
      </c>
      <c r="K12" s="23" t="n">
        <f aca="false">J12/10000000</f>
        <v>3.32004884538215</v>
      </c>
      <c r="L12" s="35" t="n">
        <f aca="false">F12*Assumptions!$B$44</f>
        <v>2844778.02620342</v>
      </c>
      <c r="M12" s="24" t="n">
        <f aca="false">L12*Assumptions!$B$14</f>
        <v>1422389.01310171</v>
      </c>
      <c r="N12" s="24" t="n">
        <f aca="false">M12/Assumptions!$B$12</f>
        <v>11.3791121048137</v>
      </c>
    </row>
    <row r="13" customFormat="false" ht="15" hidden="false" customHeight="false" outlineLevel="0" collapsed="false">
      <c r="A13" s="29" t="str">
        <f aca="false">PumpPoints!A13</f>
        <v>Lahore</v>
      </c>
      <c r="B13" s="29" t="str">
        <f aca="false">PumpPoints!B13</f>
        <v>Lahore City</v>
      </c>
      <c r="C13" s="29" t="str">
        <f aca="false">PumpPoints!C13</f>
        <v>Region</v>
      </c>
      <c r="D13" s="29" t="str">
        <f aca="false">PumpPoints!D13</f>
        <v>C</v>
      </c>
      <c r="E13" s="29" t="str">
        <f aca="false">PumpPoints!E13</f>
        <v>LHE-2</v>
      </c>
      <c r="F13" s="23" t="n">
        <f aca="false">100*(Assumptions!$B$30*PumpPoints!O13/PumpPoints!$O$35+Assumptions!$B$31*PumpPoints!P13/PumpPoints!$P$35+Assumptions!$B$32*PumpPoints!N13/PumpPoints!$N$35+Assumptions!$B$33*PumpPoints!F13/PumpPoints!$F$35)</f>
        <v>5.23619005182052</v>
      </c>
      <c r="G13" s="22" t="n">
        <f aca="false">F13/100</f>
        <v>0.0523619005182052</v>
      </c>
      <c r="H13" s="24" t="n">
        <f aca="false">F13*Assumptions!$B$42</f>
        <v>5541142.18354323</v>
      </c>
      <c r="I13" s="23" t="n">
        <f aca="false">H13/10000000</f>
        <v>0.554114218354323</v>
      </c>
      <c r="J13" s="24" t="n">
        <f aca="false">F13*Assumptions!$B$43</f>
        <v>64668886.4266963</v>
      </c>
      <c r="K13" s="23" t="n">
        <f aca="false">J13/10000000</f>
        <v>6.46688864266963</v>
      </c>
      <c r="L13" s="35" t="n">
        <f aca="false">F13*Assumptions!$B$44</f>
        <v>5541142.18354323</v>
      </c>
      <c r="M13" s="24" t="n">
        <f aca="false">L13*Assumptions!$B$14</f>
        <v>2770571.09177161</v>
      </c>
      <c r="N13" s="24" t="n">
        <f aca="false">M13/Assumptions!$B$12</f>
        <v>22.1645687341729</v>
      </c>
    </row>
    <row r="14" customFormat="false" ht="15" hidden="false" customHeight="false" outlineLevel="0" collapsed="false">
      <c r="A14" s="29" t="str">
        <f aca="false">PumpPoints!A14</f>
        <v>Lahore</v>
      </c>
      <c r="B14" s="29" t="str">
        <f aca="false">PumpPoints!B14</f>
        <v>Model Town</v>
      </c>
      <c r="C14" s="29" t="str">
        <f aca="false">PumpPoints!C14</f>
        <v>Region</v>
      </c>
      <c r="D14" s="29" t="str">
        <f aca="false">PumpPoints!D14</f>
        <v>B</v>
      </c>
      <c r="E14" s="29" t="str">
        <f aca="false">PumpPoints!E14</f>
        <v>LHE-3</v>
      </c>
      <c r="F14" s="23" t="n">
        <f aca="false">100*(Assumptions!$B$30*PumpPoints!O14/PumpPoints!$O$35+Assumptions!$B$31*PumpPoints!P14/PumpPoints!$P$35+Assumptions!$B$32*PumpPoints!N14/PumpPoints!$N$35+Assumptions!$B$33*PumpPoints!F14/PumpPoints!$F$35)</f>
        <v>7.35800288672089</v>
      </c>
      <c r="G14" s="22" t="n">
        <f aca="false">F14/100</f>
        <v>0.0735800288672089</v>
      </c>
      <c r="H14" s="24" t="n">
        <f aca="false">F14*Assumptions!$B$42</f>
        <v>7786527.94851601</v>
      </c>
      <c r="I14" s="23" t="n">
        <f aca="false">H14/10000000</f>
        <v>0.778652794851601</v>
      </c>
      <c r="J14" s="24" t="n">
        <f aca="false">F14*Assumptions!$B$43</f>
        <v>90874060.7769229</v>
      </c>
      <c r="K14" s="23" t="n">
        <f aca="false">J14/10000000</f>
        <v>9.08740607769229</v>
      </c>
      <c r="L14" s="35" t="n">
        <f aca="false">F14*Assumptions!$B$44</f>
        <v>7786527.94851601</v>
      </c>
      <c r="M14" s="24" t="n">
        <f aca="false">L14*Assumptions!$B$14</f>
        <v>3893263.97425801</v>
      </c>
      <c r="N14" s="24" t="n">
        <f aca="false">M14/Assumptions!$B$12</f>
        <v>31.1461117940641</v>
      </c>
    </row>
    <row r="15" customFormat="false" ht="15" hidden="false" customHeight="false" outlineLevel="0" collapsed="false">
      <c r="A15" s="29" t="str">
        <f aca="false">PumpPoints!A15</f>
        <v>Lahore</v>
      </c>
      <c r="B15" s="29" t="str">
        <f aca="false">PumpPoints!B15</f>
        <v>Shalimar</v>
      </c>
      <c r="C15" s="29" t="str">
        <f aca="false">PumpPoints!C15</f>
        <v>Region</v>
      </c>
      <c r="D15" s="29" t="str">
        <f aca="false">PumpPoints!D15</f>
        <v>C</v>
      </c>
      <c r="E15" s="29" t="str">
        <f aca="false">PumpPoints!E15</f>
        <v>LHE-2</v>
      </c>
      <c r="F15" s="23" t="n">
        <f aca="false">100*(Assumptions!$B$30*PumpPoints!O15/PumpPoints!$O$35+Assumptions!$B$31*PumpPoints!P15/PumpPoints!$P$35+Assumptions!$B$32*PumpPoints!N15/PumpPoints!$N$35+Assumptions!$B$33*PumpPoints!F15/PumpPoints!$F$35)</f>
        <v>3.94216231255664</v>
      </c>
      <c r="G15" s="22" t="n">
        <f aca="false">F15/100</f>
        <v>0.0394216231255664</v>
      </c>
      <c r="H15" s="24" t="n">
        <f aca="false">F15*Assumptions!$B$42</f>
        <v>4171751.15270829</v>
      </c>
      <c r="I15" s="23" t="n">
        <f aca="false">H15/10000000</f>
        <v>0.417175115270829</v>
      </c>
      <c r="J15" s="24" t="n">
        <f aca="false">F15*Assumptions!$B$43</f>
        <v>48687164.5878651</v>
      </c>
      <c r="K15" s="23" t="n">
        <f aca="false">J15/10000000</f>
        <v>4.86871645878651</v>
      </c>
      <c r="L15" s="35" t="n">
        <f aca="false">F15*Assumptions!$B$44</f>
        <v>4171751.15270829</v>
      </c>
      <c r="M15" s="24" t="n">
        <f aca="false">L15*Assumptions!$B$14</f>
        <v>2085875.57635414</v>
      </c>
      <c r="N15" s="24" t="n">
        <f aca="false">M15/Assumptions!$B$12</f>
        <v>16.6870046108332</v>
      </c>
    </row>
    <row r="16" customFormat="false" ht="15" hidden="false" customHeight="false" outlineLevel="0" collapsed="false">
      <c r="A16" s="29" t="str">
        <f aca="false">PumpPoints!A16</f>
        <v>Lahore</v>
      </c>
      <c r="B16" s="29" t="str">
        <f aca="false">PumpPoints!B16</f>
        <v>Lahore Cantt</v>
      </c>
      <c r="C16" s="29" t="str">
        <f aca="false">PumpPoints!C16</f>
        <v>Region</v>
      </c>
      <c r="D16" s="29" t="str">
        <f aca="false">PumpPoints!D16</f>
        <v>A</v>
      </c>
      <c r="E16" s="29" t="str">
        <f aca="false">PumpPoints!E16</f>
        <v>LHE-1</v>
      </c>
      <c r="F16" s="23" t="n">
        <f aca="false">100*(Assumptions!$B$30*PumpPoints!O16/PumpPoints!$O$35+Assumptions!$B$31*PumpPoints!P16/PumpPoints!$P$35+Assumptions!$B$32*PumpPoints!N16/PumpPoints!$N$35+Assumptions!$B$33*PumpPoints!F16/PumpPoints!$F$35)</f>
        <v>8.97448620415294</v>
      </c>
      <c r="G16" s="22" t="n">
        <f aca="false">F16/100</f>
        <v>0.0897448620415294</v>
      </c>
      <c r="H16" s="24" t="n">
        <f aca="false">F16*Assumptions!$B$42</f>
        <v>9497154.15011891</v>
      </c>
      <c r="I16" s="23" t="n">
        <f aca="false">H16/10000000</f>
        <v>0.949715415011891</v>
      </c>
      <c r="J16" s="24" t="n">
        <f aca="false">F16*Assumptions!$B$43</f>
        <v>110838228.431479</v>
      </c>
      <c r="K16" s="23" t="n">
        <f aca="false">J16/10000000</f>
        <v>11.0838228431479</v>
      </c>
      <c r="L16" s="35" t="n">
        <f aca="false">F16*Assumptions!$B$44</f>
        <v>9497154.15011891</v>
      </c>
      <c r="M16" s="24" t="n">
        <f aca="false">L16*Assumptions!$B$14</f>
        <v>4748577.07505946</v>
      </c>
      <c r="N16" s="24" t="n">
        <f aca="false">M16/Assumptions!$B$12</f>
        <v>37.9886166004757</v>
      </c>
    </row>
    <row r="17" customFormat="false" ht="15" hidden="false" customHeight="false" outlineLevel="0" collapsed="false">
      <c r="A17" s="29" t="str">
        <f aca="false">PumpPoints!A17</f>
        <v>Lahore</v>
      </c>
      <c r="B17" s="29" t="str">
        <f aca="false">PumpPoints!B17</f>
        <v>Raiwind</v>
      </c>
      <c r="C17" s="29" t="str">
        <f aca="false">PumpPoints!C17</f>
        <v>Region</v>
      </c>
      <c r="D17" s="29" t="str">
        <f aca="false">PumpPoints!D17</f>
        <v>B</v>
      </c>
      <c r="E17" s="29" t="str">
        <f aca="false">PumpPoints!E17</f>
        <v>LHE-1</v>
      </c>
      <c r="F17" s="23" t="n">
        <f aca="false">100*(Assumptions!$B$30*PumpPoints!O17/PumpPoints!$O$35+Assumptions!$B$31*PumpPoints!P17/PumpPoints!$P$35+Assumptions!$B$32*PumpPoints!N17/PumpPoints!$N$35+Assumptions!$B$33*PumpPoints!F17/PumpPoints!$F$35)</f>
        <v>2.97778838417495</v>
      </c>
      <c r="G17" s="22" t="n">
        <f aca="false">F17/100</f>
        <v>0.0297778838417495</v>
      </c>
      <c r="H17" s="24" t="n">
        <f aca="false">F17*Assumptions!$B$42</f>
        <v>3151212.7455114</v>
      </c>
      <c r="I17" s="23" t="n">
        <f aca="false">H17/10000000</f>
        <v>0.31512127455114</v>
      </c>
      <c r="J17" s="24" t="n">
        <f aca="false">F17*Assumptions!$B$43</f>
        <v>36776789.4047299</v>
      </c>
      <c r="K17" s="23" t="n">
        <f aca="false">J17/10000000</f>
        <v>3.67767894047299</v>
      </c>
      <c r="L17" s="35" t="n">
        <f aca="false">F17*Assumptions!$B$44</f>
        <v>3151212.7455114</v>
      </c>
      <c r="M17" s="24" t="n">
        <f aca="false">L17*Assumptions!$B$14</f>
        <v>1575606.3727557</v>
      </c>
      <c r="N17" s="24" t="n">
        <f aca="false">M17/Assumptions!$B$12</f>
        <v>12.6048509820456</v>
      </c>
    </row>
    <row r="18" customFormat="false" ht="15" hidden="false" customHeight="false" outlineLevel="0" collapsed="false">
      <c r="A18" s="29" t="str">
        <f aca="false">PumpPoints!A18</f>
        <v>Multan</v>
      </c>
      <c r="B18" s="29" t="str">
        <f aca="false">PumpPoints!B18</f>
        <v>Multan City</v>
      </c>
      <c r="C18" s="29" t="str">
        <f aca="false">PumpPoints!C18</f>
        <v>Region</v>
      </c>
      <c r="D18" s="29" t="str">
        <f aca="false">PumpPoints!D18</f>
        <v>B</v>
      </c>
      <c r="E18" s="29" t="str">
        <f aca="false">PumpPoints!E18</f>
        <v>MUX-1</v>
      </c>
      <c r="F18" s="23" t="n">
        <f aca="false">100*(Assumptions!$B$30*PumpPoints!O18/PumpPoints!$O$35+Assumptions!$B$31*PumpPoints!P18/PumpPoints!$P$35+Assumptions!$B$32*PumpPoints!N18/PumpPoints!$N$35+Assumptions!$B$33*PumpPoints!F18/PumpPoints!$F$35)</f>
        <v>5.60593664334442</v>
      </c>
      <c r="G18" s="22" t="n">
        <f aca="false">F18/100</f>
        <v>0.0560593664334442</v>
      </c>
      <c r="H18" s="24" t="n">
        <f aca="false">F18*Assumptions!$B$42</f>
        <v>5932422.56397978</v>
      </c>
      <c r="I18" s="23" t="n">
        <f aca="false">H18/10000000</f>
        <v>0.593242256397978</v>
      </c>
      <c r="J18" s="24" t="n">
        <f aca="false">F18*Assumptions!$B$43</f>
        <v>69235393.7721667</v>
      </c>
      <c r="K18" s="23" t="n">
        <f aca="false">J18/10000000</f>
        <v>6.92353937721667</v>
      </c>
      <c r="L18" s="35" t="n">
        <f aca="false">F18*Assumptions!$B$44</f>
        <v>5932422.56397978</v>
      </c>
      <c r="M18" s="24" t="n">
        <f aca="false">L18*Assumptions!$B$14</f>
        <v>2966211.28198989</v>
      </c>
      <c r="N18" s="24" t="n">
        <f aca="false">M18/Assumptions!$B$12</f>
        <v>23.7296902559191</v>
      </c>
    </row>
    <row r="19" customFormat="false" ht="15" hidden="false" customHeight="false" outlineLevel="0" collapsed="false">
      <c r="A19" s="29" t="str">
        <f aca="false">PumpPoints!A19</f>
        <v>Multan</v>
      </c>
      <c r="B19" s="29" t="str">
        <f aca="false">PumpPoints!B19</f>
        <v>Multan Saddar</v>
      </c>
      <c r="C19" s="29" t="str">
        <f aca="false">PumpPoints!C19</f>
        <v>Region</v>
      </c>
      <c r="D19" s="29" t="str">
        <f aca="false">PumpPoints!D19</f>
        <v>C</v>
      </c>
      <c r="E19" s="29" t="str">
        <f aca="false">PumpPoints!E19</f>
        <v>MUX-1</v>
      </c>
      <c r="F19" s="23" t="n">
        <f aca="false">100*(Assumptions!$B$30*PumpPoints!O19/PumpPoints!$O$35+Assumptions!$B$31*PumpPoints!P19/PumpPoints!$P$35+Assumptions!$B$32*PumpPoints!N19/PumpPoints!$N$35+Assumptions!$B$33*PumpPoints!F19/PumpPoints!$F$35)</f>
        <v>3.17676902279759</v>
      </c>
      <c r="G19" s="22" t="n">
        <f aca="false">F19/100</f>
        <v>0.0317676902279759</v>
      </c>
      <c r="H19" s="24" t="n">
        <f aca="false">F19*Assumptions!$B$42</f>
        <v>3361781.88060171</v>
      </c>
      <c r="I19" s="23" t="n">
        <f aca="false">H19/10000000</f>
        <v>0.336178188060171</v>
      </c>
      <c r="J19" s="24" t="n">
        <f aca="false">F19*Assumptions!$B$43</f>
        <v>39234273.9866208</v>
      </c>
      <c r="K19" s="23" t="n">
        <f aca="false">J19/10000000</f>
        <v>3.92342739866208</v>
      </c>
      <c r="L19" s="35" t="n">
        <f aca="false">F19*Assumptions!$B$44</f>
        <v>3361781.88060171</v>
      </c>
      <c r="M19" s="24" t="n">
        <f aca="false">L19*Assumptions!$B$14</f>
        <v>1680890.94030085</v>
      </c>
      <c r="N19" s="24" t="n">
        <f aca="false">M19/Assumptions!$B$12</f>
        <v>13.4471275224068</v>
      </c>
    </row>
    <row r="20" customFormat="false" ht="15" hidden="false" customHeight="false" outlineLevel="0" collapsed="false">
      <c r="A20" s="29" t="str">
        <f aca="false">PumpPoints!A20</f>
        <v>Multan</v>
      </c>
      <c r="B20" s="29" t="str">
        <f aca="false">PumpPoints!B20</f>
        <v>Shujabad</v>
      </c>
      <c r="C20" s="29" t="str">
        <f aca="false">PumpPoints!C20</f>
        <v>Region</v>
      </c>
      <c r="D20" s="29" t="str">
        <f aca="false">PumpPoints!D20</f>
        <v>C</v>
      </c>
      <c r="E20" s="29" t="str">
        <f aca="false">PumpPoints!E20</f>
        <v>MUX-1</v>
      </c>
      <c r="F20" s="23" t="n">
        <f aca="false">100*(Assumptions!$B$30*PumpPoints!O20/PumpPoints!$O$35+Assumptions!$B$31*PumpPoints!P20/PumpPoints!$P$35+Assumptions!$B$32*PumpPoints!N20/PumpPoints!$N$35+Assumptions!$B$33*PumpPoints!F20/PumpPoints!$F$35)</f>
        <v>1.42985374308094</v>
      </c>
      <c r="G20" s="22" t="n">
        <f aca="false">F20/100</f>
        <v>0.0142985374308094</v>
      </c>
      <c r="H20" s="24" t="n">
        <f aca="false">F20*Assumptions!$B$42</f>
        <v>1513127.44833016</v>
      </c>
      <c r="I20" s="23" t="n">
        <f aca="false">H20/10000000</f>
        <v>0.151312744833016</v>
      </c>
      <c r="J20" s="24" t="n">
        <f aca="false">F20*Assumptions!$B$43</f>
        <v>17659223.2907854</v>
      </c>
      <c r="K20" s="23" t="n">
        <f aca="false">J20/10000000</f>
        <v>1.76592232907854</v>
      </c>
      <c r="L20" s="35" t="n">
        <f aca="false">F20*Assumptions!$B$44</f>
        <v>1513127.44833016</v>
      </c>
      <c r="M20" s="24" t="n">
        <f aca="false">L20*Assumptions!$B$14</f>
        <v>756563.724165082</v>
      </c>
      <c r="N20" s="24" t="n">
        <f aca="false">M20/Assumptions!$B$12</f>
        <v>6.05250979332065</v>
      </c>
    </row>
    <row r="21" customFormat="false" ht="15" hidden="false" customHeight="false" outlineLevel="0" collapsed="false">
      <c r="A21" s="29" t="str">
        <f aca="false">PumpPoints!A21</f>
        <v>Multan</v>
      </c>
      <c r="B21" s="29" t="str">
        <f aca="false">PumpPoints!B21</f>
        <v>Jalalpur Pirwala</v>
      </c>
      <c r="C21" s="29" t="str">
        <f aca="false">PumpPoints!C21</f>
        <v>Region</v>
      </c>
      <c r="D21" s="29" t="str">
        <f aca="false">PumpPoints!D21</f>
        <v>C</v>
      </c>
      <c r="E21" s="29" t="str">
        <f aca="false">PumpPoints!E21</f>
        <v>MUX-1</v>
      </c>
      <c r="F21" s="23" t="n">
        <f aca="false">100*(Assumptions!$B$30*PumpPoints!O21/PumpPoints!$O$35+Assumptions!$B$31*PumpPoints!P21/PumpPoints!$P$35+Assumptions!$B$32*PumpPoints!N21/PumpPoints!$N$35+Assumptions!$B$33*PumpPoints!F21/PumpPoints!$F$35)</f>
        <v>1.35808342238268</v>
      </c>
      <c r="G21" s="22" t="n">
        <f aca="false">F21/100</f>
        <v>0.0135808342238268</v>
      </c>
      <c r="H21" s="24" t="n">
        <f aca="false">F21*Assumptions!$B$42</f>
        <v>1437177.27318148</v>
      </c>
      <c r="I21" s="23" t="n">
        <f aca="false">H21/10000000</f>
        <v>0.143717727318148</v>
      </c>
      <c r="J21" s="24" t="n">
        <f aca="false">F21*Assumptions!$B$43</f>
        <v>16772833.2491501</v>
      </c>
      <c r="K21" s="23" t="n">
        <f aca="false">J21/10000000</f>
        <v>1.67728332491501</v>
      </c>
      <c r="L21" s="35" t="n">
        <f aca="false">F21*Assumptions!$B$44</f>
        <v>1437177.27318148</v>
      </c>
      <c r="M21" s="24" t="n">
        <f aca="false">L21*Assumptions!$B$14</f>
        <v>718588.63659074</v>
      </c>
      <c r="N21" s="24" t="n">
        <f aca="false">M21/Assumptions!$B$12</f>
        <v>5.74870909272592</v>
      </c>
    </row>
    <row r="22" customFormat="false" ht="15" hidden="false" customHeight="false" outlineLevel="0" collapsed="false">
      <c r="A22" s="29" t="str">
        <f aca="false">PumpPoints!A22</f>
        <v>Peshawar</v>
      </c>
      <c r="B22" s="29" t="str">
        <f aca="false">PumpPoints!B22</f>
        <v>Peshawar City</v>
      </c>
      <c r="C22" s="29" t="str">
        <f aca="false">PumpPoints!C22</f>
        <v>Region</v>
      </c>
      <c r="D22" s="29" t="str">
        <f aca="false">PumpPoints!D22</f>
        <v>B</v>
      </c>
      <c r="E22" s="29" t="str">
        <f aca="false">PumpPoints!E22</f>
        <v>PEW-1</v>
      </c>
      <c r="F22" s="23" t="n">
        <f aca="false">100*(Assumptions!$B$30*PumpPoints!O22/PumpPoints!$O$35+Assumptions!$B$31*PumpPoints!P22/PumpPoints!$P$35+Assumptions!$B$32*PumpPoints!N22/PumpPoints!$N$35+Assumptions!$B$33*PumpPoints!F22/PumpPoints!$F$35)</f>
        <v>2.36359539965557</v>
      </c>
      <c r="G22" s="22" t="n">
        <f aca="false">F22/100</f>
        <v>0.0236359539965557</v>
      </c>
      <c r="H22" s="24" t="n">
        <f aca="false">F22*Assumptions!$B$42</f>
        <v>2501249.58113517</v>
      </c>
      <c r="I22" s="23" t="n">
        <f aca="false">H22/10000000</f>
        <v>0.250124958113517</v>
      </c>
      <c r="J22" s="24" t="n">
        <f aca="false">F22*Assumptions!$B$43</f>
        <v>29191278.5720687</v>
      </c>
      <c r="K22" s="23" t="n">
        <f aca="false">J22/10000000</f>
        <v>2.91912785720687</v>
      </c>
      <c r="L22" s="35" t="n">
        <f aca="false">F22*Assumptions!$B$44</f>
        <v>2501249.58113517</v>
      </c>
      <c r="M22" s="24" t="n">
        <f aca="false">L22*Assumptions!$B$14</f>
        <v>1250624.79056758</v>
      </c>
      <c r="N22" s="24" t="n">
        <f aca="false">M22/Assumptions!$B$12</f>
        <v>10.0049983245407</v>
      </c>
    </row>
    <row r="23" customFormat="false" ht="15" hidden="false" customHeight="false" outlineLevel="0" collapsed="false">
      <c r="A23" s="29" t="str">
        <f aca="false">PumpPoints!A23</f>
        <v>Peshawar</v>
      </c>
      <c r="B23" s="29" t="str">
        <f aca="false">PumpPoints!B23</f>
        <v>East Ring</v>
      </c>
      <c r="C23" s="29" t="str">
        <f aca="false">PumpPoints!C23</f>
        <v>Region</v>
      </c>
      <c r="D23" s="29" t="str">
        <f aca="false">PumpPoints!D23</f>
        <v>C</v>
      </c>
      <c r="E23" s="29" t="str">
        <f aca="false">PumpPoints!E23</f>
        <v>PEW-1</v>
      </c>
      <c r="F23" s="23" t="n">
        <f aca="false">100*(Assumptions!$B$30*PumpPoints!O23/PumpPoints!$O$35+Assumptions!$B$31*PumpPoints!P23/PumpPoints!$P$35+Assumptions!$B$32*PumpPoints!N23/PumpPoints!$N$35+Assumptions!$B$33*PumpPoints!F23/PumpPoints!$F$35)</f>
        <v>2.38401211429981</v>
      </c>
      <c r="G23" s="22" t="n">
        <f aca="false">F23/100</f>
        <v>0.0238401211429981</v>
      </c>
      <c r="H23" s="24" t="n">
        <f aca="false">F23*Assumptions!$B$42</f>
        <v>2522855.35129342</v>
      </c>
      <c r="I23" s="23" t="n">
        <f aca="false">H23/10000000</f>
        <v>0.252285535129342</v>
      </c>
      <c r="J23" s="24" t="n">
        <f aca="false">F23*Assumptions!$B$43</f>
        <v>29443432.5595038</v>
      </c>
      <c r="K23" s="23" t="n">
        <f aca="false">J23/10000000</f>
        <v>2.94434325595038</v>
      </c>
      <c r="L23" s="35" t="n">
        <f aca="false">F23*Assumptions!$B$44</f>
        <v>2522855.35129342</v>
      </c>
      <c r="M23" s="24" t="n">
        <f aca="false">L23*Assumptions!$B$14</f>
        <v>1261427.67564671</v>
      </c>
      <c r="N23" s="24" t="n">
        <f aca="false">M23/Assumptions!$B$12</f>
        <v>10.0914214051737</v>
      </c>
    </row>
    <row r="24" customFormat="false" ht="15" hidden="false" customHeight="false" outlineLevel="0" collapsed="false">
      <c r="A24" s="29" t="str">
        <f aca="false">PumpPoints!A24</f>
        <v>Peshawar</v>
      </c>
      <c r="B24" s="29" t="str">
        <f aca="false">PumpPoints!B24</f>
        <v>North-West Ring</v>
      </c>
      <c r="C24" s="29" t="str">
        <f aca="false">PumpPoints!C24</f>
        <v>Region</v>
      </c>
      <c r="D24" s="29" t="str">
        <f aca="false">PumpPoints!D24</f>
        <v>C</v>
      </c>
      <c r="E24" s="29" t="str">
        <f aca="false">PumpPoints!E24</f>
        <v>PEW-1</v>
      </c>
      <c r="F24" s="23" t="n">
        <f aca="false">100*(Assumptions!$B$30*PumpPoints!O24/PumpPoints!$O$35+Assumptions!$B$31*PumpPoints!P24/PumpPoints!$P$35+Assumptions!$B$32*PumpPoints!N24/PumpPoints!$N$35+Assumptions!$B$33*PumpPoints!F24/PumpPoints!$F$35)</f>
        <v>1.76097485949471</v>
      </c>
      <c r="G24" s="22" t="n">
        <f aca="false">F24/100</f>
        <v>0.0176097485949471</v>
      </c>
      <c r="H24" s="24" t="n">
        <f aca="false">F24*Assumptions!$B$42</f>
        <v>1863532.83237163</v>
      </c>
      <c r="I24" s="23" t="n">
        <f aca="false">H24/10000000</f>
        <v>0.186353283237163</v>
      </c>
      <c r="J24" s="24" t="n">
        <f aca="false">F24*Assumptions!$B$43</f>
        <v>21748691.7132309</v>
      </c>
      <c r="K24" s="23" t="n">
        <f aca="false">J24/10000000</f>
        <v>2.17486917132309</v>
      </c>
      <c r="L24" s="35" t="n">
        <f aca="false">F24*Assumptions!$B$44</f>
        <v>1863532.83237163</v>
      </c>
      <c r="M24" s="24" t="n">
        <f aca="false">L24*Assumptions!$B$14</f>
        <v>931766.416185816</v>
      </c>
      <c r="N24" s="24" t="n">
        <f aca="false">M24/Assumptions!$B$12</f>
        <v>7.45413132948653</v>
      </c>
    </row>
    <row r="25" customFormat="false" ht="15" hidden="false" customHeight="false" outlineLevel="0" collapsed="false">
      <c r="A25" s="29" t="str">
        <f aca="false">PumpPoints!A25</f>
        <v>Peshawar</v>
      </c>
      <c r="B25" s="29" t="str">
        <f aca="false">PumpPoints!B25</f>
        <v>South Belt</v>
      </c>
      <c r="C25" s="29" t="str">
        <f aca="false">PumpPoints!C25</f>
        <v>Region</v>
      </c>
      <c r="D25" s="29" t="str">
        <f aca="false">PumpPoints!D25</f>
        <v>C</v>
      </c>
      <c r="E25" s="29" t="str">
        <f aca="false">PumpPoints!E25</f>
        <v>PEW-1</v>
      </c>
      <c r="F25" s="23" t="n">
        <f aca="false">100*(Assumptions!$B$30*PumpPoints!O25/PumpPoints!$O$35+Assumptions!$B$31*PumpPoints!P25/PumpPoints!$P$35+Assumptions!$B$32*PumpPoints!N25/PumpPoints!$N$35+Assumptions!$B$33*PumpPoints!F25/PumpPoints!$F$35)</f>
        <v>0.991008940383637</v>
      </c>
      <c r="G25" s="22" t="n">
        <f aca="false">F25/100</f>
        <v>0.00991008940383637</v>
      </c>
      <c r="H25" s="24" t="n">
        <f aca="false">F25*Assumptions!$B$42</f>
        <v>1048724.62410317</v>
      </c>
      <c r="I25" s="23" t="n">
        <f aca="false">H25/10000000</f>
        <v>0.104872462410317</v>
      </c>
      <c r="J25" s="24" t="n">
        <f aca="false">F25*Assumptions!$B$43</f>
        <v>12239327.4459601</v>
      </c>
      <c r="K25" s="23" t="n">
        <f aca="false">J25/10000000</f>
        <v>1.22393274459601</v>
      </c>
      <c r="L25" s="35" t="n">
        <f aca="false">F25*Assumptions!$B$44</f>
        <v>1048724.62410317</v>
      </c>
      <c r="M25" s="24" t="n">
        <f aca="false">L25*Assumptions!$B$14</f>
        <v>524362.312051587</v>
      </c>
      <c r="N25" s="24" t="n">
        <f aca="false">M25/Assumptions!$B$12</f>
        <v>4.19489849641269</v>
      </c>
    </row>
    <row r="26" customFormat="false" ht="15" hidden="false" customHeight="false" outlineLevel="0" collapsed="false">
      <c r="A26" s="29" t="str">
        <f aca="false">PumpPoints!A26</f>
        <v>Islamabad</v>
      </c>
      <c r="B26" s="29" t="str">
        <f aca="false">PumpPoints!B26</f>
        <v>ICT Rural belt</v>
      </c>
      <c r="C26" s="29" t="str">
        <f aca="false">PumpPoints!C26</f>
        <v>Region</v>
      </c>
      <c r="D26" s="29" t="str">
        <f aca="false">PumpPoints!D26</f>
        <v>B</v>
      </c>
      <c r="E26" s="29" t="str">
        <f aca="false">PumpPoints!E26</f>
        <v>ISB-1</v>
      </c>
      <c r="F26" s="23" t="n">
        <f aca="false">100*(Assumptions!$B$30*PumpPoints!O26/PumpPoints!$O$35+Assumptions!$B$31*PumpPoints!P26/PumpPoints!$P$35+Assumptions!$B$32*PumpPoints!N26/PumpPoints!$N$35+Assumptions!$B$33*PumpPoints!F26/PumpPoints!$F$35)</f>
        <v>4.28138719619881</v>
      </c>
      <c r="G26" s="22" t="n">
        <f aca="false">F26/100</f>
        <v>0.0428138719619881</v>
      </c>
      <c r="H26" s="24" t="n">
        <f aca="false">F26*Assumptions!$B$42</f>
        <v>4530732.26184577</v>
      </c>
      <c r="I26" s="23" t="n">
        <f aca="false">H26/10000000</f>
        <v>0.453073226184577</v>
      </c>
      <c r="J26" s="24" t="n">
        <f aca="false">F26*Assumptions!$B$43</f>
        <v>52876717.5369102</v>
      </c>
      <c r="K26" s="23" t="n">
        <f aca="false">J26/10000000</f>
        <v>5.28767175369102</v>
      </c>
      <c r="L26" s="35" t="n">
        <f aca="false">F26*Assumptions!$B$44</f>
        <v>4530732.26184577</v>
      </c>
      <c r="M26" s="24" t="n">
        <f aca="false">L26*Assumptions!$B$14</f>
        <v>2265366.13092289</v>
      </c>
      <c r="N26" s="24" t="n">
        <f aca="false">M26/Assumptions!$B$12</f>
        <v>18.1229290473831</v>
      </c>
    </row>
    <row r="27" customFormat="false" ht="15" hidden="false" customHeight="false" outlineLevel="0" collapsed="false">
      <c r="A27" s="29" t="str">
        <f aca="false">PumpPoints!A27</f>
        <v>Islamabad</v>
      </c>
      <c r="B27" s="29" t="str">
        <f aca="false">PumpPoints!B27</f>
        <v>ICT Urban</v>
      </c>
      <c r="C27" s="29" t="str">
        <f aca="false">PumpPoints!C27</f>
        <v>Region</v>
      </c>
      <c r="D27" s="29" t="str">
        <f aca="false">PumpPoints!D27</f>
        <v>A</v>
      </c>
      <c r="E27" s="29" t="str">
        <f aca="false">PumpPoints!E27</f>
        <v>ISB-1</v>
      </c>
      <c r="F27" s="23" t="n">
        <f aca="false">100*(Assumptions!$B$30*PumpPoints!O27/PumpPoints!$O$35+Assumptions!$B$31*PumpPoints!P27/PumpPoints!$P$35+Assumptions!$B$32*PumpPoints!N27/PumpPoints!$N$35+Assumptions!$B$33*PumpPoints!F27/PumpPoints!$F$35)</f>
        <v>3.48786703272442</v>
      </c>
      <c r="G27" s="22" t="n">
        <f aca="false">F27/100</f>
        <v>0.0348786703272442</v>
      </c>
      <c r="H27" s="24" t="n">
        <f aca="false">F27*Assumptions!$B$42</f>
        <v>3690998.02611242</v>
      </c>
      <c r="I27" s="23" t="n">
        <f aca="false">H27/10000000</f>
        <v>0.369099802611242</v>
      </c>
      <c r="J27" s="24" t="n">
        <f aca="false">F27*Assumptions!$B$43</f>
        <v>43076449.6281513</v>
      </c>
      <c r="K27" s="23" t="n">
        <f aca="false">J27/10000000</f>
        <v>4.30764496281513</v>
      </c>
      <c r="L27" s="35" t="n">
        <f aca="false">F27*Assumptions!$B$44</f>
        <v>3690998.02611242</v>
      </c>
      <c r="M27" s="24" t="n">
        <f aca="false">L27*Assumptions!$B$14</f>
        <v>1845499.01305621</v>
      </c>
      <c r="N27" s="24" t="n">
        <f aca="false">M27/Assumptions!$B$12</f>
        <v>14.7639921044497</v>
      </c>
    </row>
    <row r="28" customFormat="false" ht="15" hidden="false" customHeight="false" outlineLevel="0" collapsed="false">
      <c r="A28" s="29" t="str">
        <f aca="false">PumpPoints!A28</f>
        <v>Karachi</v>
      </c>
      <c r="B28" s="29" t="str">
        <f aca="false">PumpPoints!B28</f>
        <v>DHA Phase VIII + Sahil</v>
      </c>
      <c r="C28" s="29" t="str">
        <f aca="false">PumpPoints!C28</f>
        <v>Hyper</v>
      </c>
      <c r="D28" s="29" t="str">
        <f aca="false">PumpPoints!D28</f>
        <v>S</v>
      </c>
      <c r="E28" s="29" t="str">
        <f aca="false">PumpPoints!E28</f>
        <v>KHI-1</v>
      </c>
      <c r="F28" s="23" t="n">
        <f aca="false">100*(Assumptions!$B$30*PumpPoints!O28/PumpPoints!$O$35+Assumptions!$B$31*PumpPoints!P28/PumpPoints!$P$35+Assumptions!$B$32*PumpPoints!N28/PumpPoints!$N$35+Assumptions!$B$33*PumpPoints!F28/PumpPoints!$F$35)</f>
        <v>1.21453847618573</v>
      </c>
      <c r="G28" s="22" t="n">
        <f aca="false">F28/100</f>
        <v>0.0121453847618573</v>
      </c>
      <c r="H28" s="24" t="n">
        <f aca="false">F28*Assumptions!$B$42</f>
        <v>1285272.36737505</v>
      </c>
      <c r="I28" s="23" t="n">
        <f aca="false">H28/10000000</f>
        <v>0.128527236737505</v>
      </c>
      <c r="J28" s="24" t="n">
        <f aca="false">F28*Assumptions!$B$43</f>
        <v>15000000</v>
      </c>
      <c r="K28" s="23" t="n">
        <f aca="false">J28/10000000</f>
        <v>1.5</v>
      </c>
      <c r="L28" s="35" t="n">
        <f aca="false">F28*Assumptions!$B$44</f>
        <v>1285272.36737505</v>
      </c>
      <c r="M28" s="24" t="n">
        <f aca="false">L28*Assumptions!$B$14</f>
        <v>642636.183687527</v>
      </c>
      <c r="N28" s="24" t="n">
        <f aca="false">M28/Assumptions!$B$12</f>
        <v>5.14108946950022</v>
      </c>
    </row>
    <row r="29" customFormat="false" ht="15" hidden="false" customHeight="false" outlineLevel="0" collapsed="false">
      <c r="A29" s="29" t="str">
        <f aca="false">PumpPoints!A29</f>
        <v>Karachi</v>
      </c>
      <c r="B29" s="29" t="str">
        <f aca="false">PumpPoints!B29</f>
        <v>Bahria Town Karachi</v>
      </c>
      <c r="C29" s="29" t="str">
        <f aca="false">PumpPoints!C29</f>
        <v>Hyper</v>
      </c>
      <c r="D29" s="29" t="str">
        <f aca="false">PumpPoints!D29</f>
        <v>S</v>
      </c>
      <c r="E29" s="29" t="str">
        <f aca="false">PumpPoints!E29</f>
        <v>KHI-4</v>
      </c>
      <c r="F29" s="23" t="n">
        <f aca="false">100*(Assumptions!$B$30*PumpPoints!O29/PumpPoints!$O$35+Assumptions!$B$31*PumpPoints!P29/PumpPoints!$P$35+Assumptions!$B$32*PumpPoints!N29/PumpPoints!$N$35+Assumptions!$B$33*PumpPoints!F29/PumpPoints!$F$35)</f>
        <v>0.97972322269029</v>
      </c>
      <c r="G29" s="22" t="n">
        <f aca="false">F29/100</f>
        <v>0.0097972322269029</v>
      </c>
      <c r="H29" s="24" t="n">
        <f aca="false">F29*Assumptions!$B$42</f>
        <v>1036781.63392076</v>
      </c>
      <c r="I29" s="23" t="n">
        <f aca="false">H29/10000000</f>
        <v>0.103678163392076</v>
      </c>
      <c r="J29" s="24" t="n">
        <f aca="false">F29*Assumptions!$B$43</f>
        <v>12099944.6526444</v>
      </c>
      <c r="K29" s="23" t="n">
        <f aca="false">J29/10000000</f>
        <v>1.20999446526444</v>
      </c>
      <c r="L29" s="35" t="n">
        <f aca="false">F29*Assumptions!$B$44</f>
        <v>1036781.63392076</v>
      </c>
      <c r="M29" s="24" t="n">
        <f aca="false">L29*Assumptions!$B$14</f>
        <v>518390.816960378</v>
      </c>
      <c r="N29" s="24" t="n">
        <f aca="false">M29/Assumptions!$B$12</f>
        <v>4.14712653568302</v>
      </c>
    </row>
    <row r="30" customFormat="false" ht="15" hidden="false" customHeight="false" outlineLevel="0" collapsed="false">
      <c r="A30" s="29" t="str">
        <f aca="false">PumpPoints!A30</f>
        <v>Lahore</v>
      </c>
      <c r="B30" s="29" t="str">
        <f aca="false">PumpPoints!B30</f>
        <v>DHA Lahore VII-IX + EME</v>
      </c>
      <c r="C30" s="29" t="str">
        <f aca="false">PumpPoints!C30</f>
        <v>Hyper</v>
      </c>
      <c r="D30" s="29" t="str">
        <f aca="false">PumpPoints!D30</f>
        <v>S</v>
      </c>
      <c r="E30" s="29" t="str">
        <f aca="false">PumpPoints!E30</f>
        <v>LHE-1</v>
      </c>
      <c r="F30" s="23" t="n">
        <f aca="false">100*(Assumptions!$B$30*PumpPoints!O30/PumpPoints!$O$35+Assumptions!$B$31*PumpPoints!P30/PumpPoints!$P$35+Assumptions!$B$32*PumpPoints!N30/PumpPoints!$N$35+Assumptions!$B$33*PumpPoints!F30/PumpPoints!$F$35)</f>
        <v>1.4242440280951</v>
      </c>
      <c r="G30" s="22" t="n">
        <f aca="false">F30/100</f>
        <v>0.014242440280951</v>
      </c>
      <c r="H30" s="24" t="n">
        <f aca="false">F30*Assumptions!$B$42</f>
        <v>1507191.0273756</v>
      </c>
      <c r="I30" s="23" t="n">
        <f aca="false">H30/10000000</f>
        <v>0.15071910273756</v>
      </c>
      <c r="J30" s="24" t="n">
        <f aca="false">F30*Assumptions!$B$43</f>
        <v>17589941.2330841</v>
      </c>
      <c r="K30" s="23" t="n">
        <f aca="false">J30/10000000</f>
        <v>1.75899412330841</v>
      </c>
      <c r="L30" s="35" t="n">
        <f aca="false">F30*Assumptions!$B$44</f>
        <v>1507191.0273756</v>
      </c>
      <c r="M30" s="24" t="n">
        <f aca="false">L30*Assumptions!$B$14</f>
        <v>753595.513687801</v>
      </c>
      <c r="N30" s="24" t="n">
        <f aca="false">M30/Assumptions!$B$12</f>
        <v>6.02876410950241</v>
      </c>
    </row>
    <row r="31" customFormat="false" ht="15" hidden="false" customHeight="false" outlineLevel="0" collapsed="false">
      <c r="A31" s="29" t="str">
        <f aca="false">PumpPoints!A31</f>
        <v>Lahore</v>
      </c>
      <c r="B31" s="29" t="str">
        <f aca="false">PumpPoints!B31</f>
        <v>Bahria Town Lahore + Lake City</v>
      </c>
      <c r="C31" s="29" t="str">
        <f aca="false">PumpPoints!C31</f>
        <v>Hyper</v>
      </c>
      <c r="D31" s="29" t="str">
        <f aca="false">PumpPoints!D31</f>
        <v>S</v>
      </c>
      <c r="E31" s="29" t="str">
        <f aca="false">PumpPoints!E31</f>
        <v>LHE-1</v>
      </c>
      <c r="F31" s="23" t="n">
        <f aca="false">100*(Assumptions!$B$30*PumpPoints!O31/PumpPoints!$O$35+Assumptions!$B$31*PumpPoints!P31/PumpPoints!$P$35+Assumptions!$B$32*PumpPoints!N31/PumpPoints!$N$35+Assumptions!$B$33*PumpPoints!F31/PumpPoints!$F$35)</f>
        <v>0.718457765161767</v>
      </c>
      <c r="G31" s="22" t="n">
        <f aca="false">F31/100</f>
        <v>0.00718457765161767</v>
      </c>
      <c r="H31" s="24" t="n">
        <f aca="false">F31*Assumptions!$B$42</f>
        <v>760300.254618895</v>
      </c>
      <c r="I31" s="23" t="n">
        <f aca="false">H31/10000000</f>
        <v>0.0760300254618895</v>
      </c>
      <c r="J31" s="24" t="n">
        <f aca="false">F31*Assumptions!$B$43</f>
        <v>8873219.48932516</v>
      </c>
      <c r="K31" s="23" t="n">
        <f aca="false">J31/10000000</f>
        <v>0.887321948932516</v>
      </c>
      <c r="L31" s="35" t="n">
        <f aca="false">F31*Assumptions!$B$44</f>
        <v>760300.254618895</v>
      </c>
      <c r="M31" s="24" t="n">
        <f aca="false">L31*Assumptions!$B$14</f>
        <v>380150.127309447</v>
      </c>
      <c r="N31" s="24" t="n">
        <f aca="false">M31/Assumptions!$B$12</f>
        <v>3.04120101847558</v>
      </c>
    </row>
    <row r="32" customFormat="false" ht="15" hidden="false" customHeight="false" outlineLevel="0" collapsed="false">
      <c r="A32" s="29" t="str">
        <f aca="false">PumpPoints!A32</f>
        <v>Islamabad</v>
      </c>
      <c r="B32" s="29" t="str">
        <f aca="false">PumpPoints!B32</f>
        <v>DHA Islamabad + Bahria Enclave</v>
      </c>
      <c r="C32" s="29" t="str">
        <f aca="false">PumpPoints!C32</f>
        <v>Hyper</v>
      </c>
      <c r="D32" s="29" t="str">
        <f aca="false">PumpPoints!D32</f>
        <v>S</v>
      </c>
      <c r="E32" s="29" t="str">
        <f aca="false">PumpPoints!E32</f>
        <v>ISB-1</v>
      </c>
      <c r="F32" s="23" t="n">
        <f aca="false">100*(Assumptions!$B$30*PumpPoints!O32/PumpPoints!$O$35+Assumptions!$B$31*PumpPoints!P32/PumpPoints!$P$35+Assumptions!$B$32*PumpPoints!N32/PumpPoints!$N$35+Assumptions!$B$33*PumpPoints!F32/PumpPoints!$F$35)</f>
        <v>0.821344273529279</v>
      </c>
      <c r="G32" s="22" t="n">
        <f aca="false">F32/100</f>
        <v>0.00821344273529279</v>
      </c>
      <c r="H32" s="24" t="n">
        <f aca="false">F32*Assumptions!$B$42</f>
        <v>869178.802950897</v>
      </c>
      <c r="I32" s="23" t="n">
        <f aca="false">H32/10000000</f>
        <v>0.0869178802950897</v>
      </c>
      <c r="J32" s="24" t="n">
        <f aca="false">F32*Assumptions!$B$43</f>
        <v>10143905.9729345</v>
      </c>
      <c r="K32" s="23" t="n">
        <f aca="false">J32/10000000</f>
        <v>1.01439059729345</v>
      </c>
      <c r="L32" s="35" t="n">
        <f aca="false">F32*Assumptions!$B$44</f>
        <v>869178.802950897</v>
      </c>
      <c r="M32" s="24" t="n">
        <f aca="false">L32*Assumptions!$B$14</f>
        <v>434589.401475449</v>
      </c>
      <c r="N32" s="24" t="n">
        <f aca="false">M32/Assumptions!$B$12</f>
        <v>3.47671521180359</v>
      </c>
    </row>
    <row r="33" customFormat="false" ht="15" hidden="false" customHeight="false" outlineLevel="0" collapsed="false">
      <c r="A33" s="29" t="str">
        <f aca="false">PumpPoints!A33</f>
        <v>Peshawar</v>
      </c>
      <c r="B33" s="29" t="str">
        <f aca="false">PumpPoints!B33</f>
        <v>Hayatabad Ph 6-7 + DHA Peshawar</v>
      </c>
      <c r="C33" s="29" t="str">
        <f aca="false">PumpPoints!C33</f>
        <v>Hyper</v>
      </c>
      <c r="D33" s="29" t="str">
        <f aca="false">PumpPoints!D33</f>
        <v>S</v>
      </c>
      <c r="E33" s="29" t="str">
        <f aca="false">PumpPoints!E33</f>
        <v>PEW-1</v>
      </c>
      <c r="F33" s="23" t="n">
        <f aca="false">100*(Assumptions!$B$30*PumpPoints!O33/PumpPoints!$O$35+Assumptions!$B$31*PumpPoints!P33/PumpPoints!$P$35+Assumptions!$B$32*PumpPoints!N33/PumpPoints!$N$35+Assumptions!$B$33*PumpPoints!F33/PumpPoints!$F$35)</f>
        <v>0.510936955015923</v>
      </c>
      <c r="G33" s="22" t="n">
        <f aca="false">F33/100</f>
        <v>0.00510936955015923</v>
      </c>
      <c r="H33" s="24" t="n">
        <f aca="false">F33*Assumptions!$B$42</f>
        <v>540693.574249758</v>
      </c>
      <c r="I33" s="23" t="n">
        <f aca="false">H33/10000000</f>
        <v>0.0540693574249758</v>
      </c>
      <c r="J33" s="24" t="n">
        <f aca="false">F33*Assumptions!$B$43</f>
        <v>6310260.62616632</v>
      </c>
      <c r="K33" s="23" t="n">
        <f aca="false">J33/10000000</f>
        <v>0.631026062616632</v>
      </c>
      <c r="L33" s="35" t="n">
        <f aca="false">F33*Assumptions!$B$44</f>
        <v>540693.574249758</v>
      </c>
      <c r="M33" s="24" t="n">
        <f aca="false">L33*Assumptions!$B$14</f>
        <v>270346.787124879</v>
      </c>
      <c r="N33" s="24" t="n">
        <f aca="false">M33/Assumptions!$B$12</f>
        <v>2.16277429699903</v>
      </c>
    </row>
    <row r="34" customFormat="false" ht="15" hidden="false" customHeight="false" outlineLevel="0" collapsed="false">
      <c r="A34" s="29" t="str">
        <f aca="false">PumpPoints!A34</f>
        <v>Multan</v>
      </c>
      <c r="B34" s="29" t="str">
        <f aca="false">PumpPoints!B34</f>
        <v>DHA Multan</v>
      </c>
      <c r="C34" s="29" t="str">
        <f aca="false">PumpPoints!C34</f>
        <v>Hyper</v>
      </c>
      <c r="D34" s="29" t="str">
        <f aca="false">PumpPoints!D34</f>
        <v>S</v>
      </c>
      <c r="E34" s="29" t="str">
        <f aca="false">PumpPoints!E34</f>
        <v>MUX-1</v>
      </c>
      <c r="F34" s="23" t="n">
        <f aca="false">100*(Assumptions!$B$30*PumpPoints!O34/PumpPoints!$O$35+Assumptions!$B$31*PumpPoints!P34/PumpPoints!$P$35+Assumptions!$B$32*PumpPoints!N34/PumpPoints!$N$35+Assumptions!$B$33*PumpPoints!F34/PumpPoints!$F$35)</f>
        <v>0.415041620291687</v>
      </c>
      <c r="G34" s="22" t="n">
        <f aca="false">F34/100</f>
        <v>0.00415041620291687</v>
      </c>
      <c r="H34" s="24" t="n">
        <f aca="false">F34*Assumptions!$B$42</f>
        <v>439213.360738272</v>
      </c>
      <c r="I34" s="23" t="n">
        <f aca="false">H34/10000000</f>
        <v>0.0439213360738272</v>
      </c>
      <c r="J34" s="24" t="n">
        <f aca="false">F34*Assumptions!$B$43</f>
        <v>5125917.72631768</v>
      </c>
      <c r="K34" s="23" t="n">
        <f aca="false">J34/10000000</f>
        <v>0.512591772631768</v>
      </c>
      <c r="L34" s="35" t="n">
        <f aca="false">F34*Assumptions!$B$44</f>
        <v>439213.360738272</v>
      </c>
      <c r="M34" s="24" t="n">
        <f aca="false">L34*Assumptions!$B$14</f>
        <v>219606.680369136</v>
      </c>
      <c r="N34" s="24" t="n">
        <f aca="false">M34/Assumptions!$B$12</f>
        <v>1.75685344295309</v>
      </c>
    </row>
    <row r="35" customFormat="false" ht="15" hidden="false" customHeight="false" outlineLevel="0" collapsed="false">
      <c r="A35" s="25"/>
      <c r="B35" s="26" t="s">
        <v>294</v>
      </c>
      <c r="C35" s="25"/>
      <c r="D35" s="25"/>
      <c r="E35" s="25"/>
      <c r="F35" s="14" t="n">
        <f aca="false">SUM(F6:F34)</f>
        <v>100</v>
      </c>
      <c r="G35" s="36" t="n">
        <f aca="false">SUM(G6:G34)</f>
        <v>1</v>
      </c>
      <c r="H35" s="13" t="n">
        <f aca="false">SUM(H6:H34)</f>
        <v>105823931.688971</v>
      </c>
      <c r="I35" s="14" t="n">
        <f aca="false">SUM(I6:I34)</f>
        <v>10.5823931688971</v>
      </c>
      <c r="J35" s="13" t="n">
        <f aca="false">SUM(J6:J34)</f>
        <v>1235037036.21705</v>
      </c>
      <c r="K35" s="14" t="n">
        <f aca="false">SUM(K6:K34)</f>
        <v>123.503703621705</v>
      </c>
      <c r="L35" s="13" t="n">
        <f aca="false">SUM(L6:L34)</f>
        <v>105823931.688971</v>
      </c>
      <c r="M35" s="13" t="n">
        <f aca="false">SUM(M6:M34)</f>
        <v>52911965.8444854</v>
      </c>
      <c r="N35" s="13" t="n">
        <f aca="false">SUM(N6:N34)</f>
        <v>423.295726755883</v>
      </c>
    </row>
  </sheetData>
  <mergeCells count="1">
    <mergeCell ref="A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2"/>
    <col collapsed="false" customWidth="true" hidden="false" outlineLevel="0" max="3" min="3" style="0" width="7"/>
    <col collapsed="false" customWidth="true" hidden="false" outlineLevel="0" max="4" min="4" style="0" width="11"/>
    <col collapsed="false" customWidth="true" hidden="false" outlineLevel="0" max="5" min="5" style="0" width="15"/>
    <col collapsed="false" customWidth="true" hidden="false" outlineLevel="0" max="6" min="6" style="0" width="10"/>
    <col collapsed="false" customWidth="true" hidden="false" outlineLevel="0" max="8" min="7" style="0" width="11"/>
    <col collapsed="false" customWidth="true" hidden="false" outlineLevel="0" max="12" min="9" style="0" width="9"/>
    <col collapsed="false" customWidth="true" hidden="false" outlineLevel="0" max="13" min="13" style="0" width="12"/>
  </cols>
  <sheetData>
    <row r="1" customFormat="false" ht="17.35" hidden="false" customHeight="false" outlineLevel="0" collapsed="false">
      <c r="A1" s="1" t="s">
        <v>295</v>
      </c>
    </row>
    <row r="2" customFormat="false" ht="31.5" hidden="false" customHeight="true" outlineLevel="0" collapsed="false">
      <c r="A2" s="5" t="s">
        <v>296</v>
      </c>
      <c r="B2" s="5"/>
      <c r="C2" s="5"/>
      <c r="D2" s="5"/>
      <c r="E2" s="5"/>
      <c r="F2" s="5"/>
      <c r="G2" s="5"/>
      <c r="H2" s="5"/>
      <c r="I2" s="5"/>
      <c r="J2" s="5"/>
      <c r="K2" s="5"/>
      <c r="L2" s="5"/>
      <c r="M2" s="5"/>
      <c r="N2" s="5"/>
    </row>
    <row r="4" customFormat="false" ht="30" hidden="false" customHeight="true" outlineLevel="0" collapsed="false">
      <c r="A4" s="16" t="s">
        <v>134</v>
      </c>
      <c r="B4" s="16" t="s">
        <v>246</v>
      </c>
      <c r="C4" s="16" t="s">
        <v>248</v>
      </c>
      <c r="D4" s="16" t="s">
        <v>220</v>
      </c>
      <c r="E4" s="16" t="s">
        <v>297</v>
      </c>
      <c r="F4" s="16" t="s">
        <v>298</v>
      </c>
      <c r="G4" s="16" t="s">
        <v>299</v>
      </c>
      <c r="H4" s="16" t="s">
        <v>300</v>
      </c>
      <c r="I4" s="16" t="s">
        <v>301</v>
      </c>
      <c r="J4" s="16" t="s">
        <v>302</v>
      </c>
      <c r="K4" s="16" t="s">
        <v>303</v>
      </c>
      <c r="L4" s="16" t="s">
        <v>304</v>
      </c>
      <c r="M4" s="16" t="s">
        <v>305</v>
      </c>
    </row>
    <row r="5" customFormat="false" ht="61.5" hidden="false" customHeight="true" outlineLevel="0" collapsed="false">
      <c r="A5" s="17"/>
      <c r="B5" s="17"/>
      <c r="C5" s="17"/>
      <c r="D5" s="17"/>
      <c r="E5" s="17" t="s">
        <v>306</v>
      </c>
      <c r="F5" s="17" t="s">
        <v>307</v>
      </c>
      <c r="G5" s="17" t="s">
        <v>308</v>
      </c>
      <c r="H5" s="17" t="s">
        <v>309</v>
      </c>
      <c r="I5" s="17" t="s">
        <v>310</v>
      </c>
      <c r="J5" s="17"/>
      <c r="K5" s="17"/>
      <c r="L5" s="17"/>
      <c r="M5" s="17" t="s">
        <v>311</v>
      </c>
    </row>
    <row r="6" customFormat="false" ht="15" hidden="false" customHeight="false" outlineLevel="0" collapsed="false">
      <c r="A6" s="29" t="str">
        <f aca="false">PumpPoints!A6</f>
        <v>Karachi</v>
      </c>
      <c r="B6" s="29" t="str">
        <f aca="false">PumpPoints!B6</f>
        <v>Karachi East</v>
      </c>
      <c r="C6" s="29" t="str">
        <f aca="false">PumpPoints!D6</f>
        <v>B</v>
      </c>
      <c r="D6" s="29" t="str">
        <f aca="false">PumpPoints!E6</f>
        <v>KHI-2</v>
      </c>
      <c r="E6" s="24" t="n">
        <f aca="false">(PumpPoints!K6+PumpPoints!L6)/Assumptions!$B$8</f>
        <v>38985.2557334183</v>
      </c>
      <c r="F6" s="22" t="n">
        <f aca="false">IF(C6="S",Assumptions!$B$24,IF(C6="A",Assumptions!$B$25,IF(C6="B",Assumptions!$B$26,Assumptions!$B$27)))</f>
        <v>0.015</v>
      </c>
      <c r="G6" s="24" t="n">
        <f aca="false">E6*F6</f>
        <v>584.778836001275</v>
      </c>
      <c r="H6" s="35" t="n">
        <f aca="false">G6/4</f>
        <v>146.194709000319</v>
      </c>
      <c r="I6" s="24" t="n">
        <f aca="false">$H6*Assumptions!$B$47</f>
        <v>73.0973545001593</v>
      </c>
      <c r="J6" s="24" t="n">
        <f aca="false">$H6*Assumptions!$B$48</f>
        <v>109.646031750239</v>
      </c>
      <c r="K6" s="24" t="n">
        <f aca="false">$H6*Assumptions!$B$49</f>
        <v>146.194709000319</v>
      </c>
      <c r="L6" s="24" t="n">
        <f aca="false">$H6*Assumptions!$B$50</f>
        <v>146.194709000319</v>
      </c>
      <c r="M6" s="24" t="n">
        <f aca="false">SUM(I6:L6)</f>
        <v>475.132804251036</v>
      </c>
    </row>
    <row r="7" customFormat="false" ht="15" hidden="false" customHeight="false" outlineLevel="0" collapsed="false">
      <c r="A7" s="29" t="str">
        <f aca="false">PumpPoints!A7</f>
        <v>Karachi</v>
      </c>
      <c r="B7" s="29" t="str">
        <f aca="false">PumpPoints!B7</f>
        <v>Karachi Central</v>
      </c>
      <c r="C7" s="29" t="str">
        <f aca="false">PumpPoints!D7</f>
        <v>C</v>
      </c>
      <c r="D7" s="29" t="str">
        <f aca="false">PumpPoints!E7</f>
        <v>KHI-3</v>
      </c>
      <c r="E7" s="24" t="n">
        <f aca="false">(PumpPoints!K7+PumpPoints!L7)/Assumptions!$B$8</f>
        <v>49062.6832762344</v>
      </c>
      <c r="F7" s="22" t="n">
        <f aca="false">IF(C7="S",Assumptions!$B$24,IF(C7="A",Assumptions!$B$25,IF(C7="B",Assumptions!$B$26,Assumptions!$B$27)))</f>
        <v>0.003</v>
      </c>
      <c r="G7" s="24" t="n">
        <f aca="false">E7*F7</f>
        <v>147.188049828703</v>
      </c>
      <c r="H7" s="35" t="n">
        <f aca="false">G7/4</f>
        <v>36.7970124571758</v>
      </c>
      <c r="I7" s="24" t="n">
        <f aca="false">$H7*Assumptions!$B$47</f>
        <v>18.3985062285879</v>
      </c>
      <c r="J7" s="24" t="n">
        <f aca="false">$H7*Assumptions!$B$48</f>
        <v>27.5977593428819</v>
      </c>
      <c r="K7" s="24" t="n">
        <f aca="false">$H7*Assumptions!$B$49</f>
        <v>36.7970124571758</v>
      </c>
      <c r="L7" s="24" t="n">
        <f aca="false">$H7*Assumptions!$B$50</f>
        <v>36.7970124571758</v>
      </c>
      <c r="M7" s="24" t="n">
        <f aca="false">SUM(I7:L7)</f>
        <v>119.590290485821</v>
      </c>
    </row>
    <row r="8" customFormat="false" ht="15" hidden="false" customHeight="false" outlineLevel="0" collapsed="false">
      <c r="A8" s="29" t="str">
        <f aca="false">PumpPoints!A8</f>
        <v>Karachi</v>
      </c>
      <c r="B8" s="29" t="str">
        <f aca="false">PumpPoints!B8</f>
        <v>Korangi</v>
      </c>
      <c r="C8" s="29" t="str">
        <f aca="false">PumpPoints!D8</f>
        <v>C</v>
      </c>
      <c r="D8" s="29" t="str">
        <f aca="false">PumpPoints!E8</f>
        <v>KHI-2</v>
      </c>
      <c r="E8" s="24" t="n">
        <f aca="false">(PumpPoints!K8+PumpPoints!L8)/Assumptions!$B$8</f>
        <v>48053.3295809924</v>
      </c>
      <c r="F8" s="22" t="n">
        <f aca="false">IF(C8="S",Assumptions!$B$24,IF(C8="A",Assumptions!$B$25,IF(C8="B",Assumptions!$B$26,Assumptions!$B$27)))</f>
        <v>0.003</v>
      </c>
      <c r="G8" s="24" t="n">
        <f aca="false">E8*F8</f>
        <v>144.159988742977</v>
      </c>
      <c r="H8" s="35" t="n">
        <f aca="false">G8/4</f>
        <v>36.0399971857443</v>
      </c>
      <c r="I8" s="24" t="n">
        <f aca="false">$H8*Assumptions!$B$47</f>
        <v>18.0199985928721</v>
      </c>
      <c r="J8" s="24" t="n">
        <f aca="false">$H8*Assumptions!$B$48</f>
        <v>27.0299978893082</v>
      </c>
      <c r="K8" s="24" t="n">
        <f aca="false">$H8*Assumptions!$B$49</f>
        <v>36.0399971857443</v>
      </c>
      <c r="L8" s="24" t="n">
        <f aca="false">$H8*Assumptions!$B$50</f>
        <v>36.0399971857443</v>
      </c>
      <c r="M8" s="24" t="n">
        <f aca="false">SUM(I8:L8)</f>
        <v>117.129990853669</v>
      </c>
    </row>
    <row r="9" customFormat="false" ht="15" hidden="false" customHeight="false" outlineLevel="0" collapsed="false">
      <c r="A9" s="29" t="str">
        <f aca="false">PumpPoints!A9</f>
        <v>Karachi</v>
      </c>
      <c r="B9" s="29" t="str">
        <f aca="false">PumpPoints!B9</f>
        <v>Karachi West</v>
      </c>
      <c r="C9" s="29" t="str">
        <f aca="false">PumpPoints!D9</f>
        <v>C</v>
      </c>
      <c r="D9" s="29" t="str">
        <f aca="false">PumpPoints!E9</f>
        <v>KHI-3</v>
      </c>
      <c r="E9" s="24" t="n">
        <f aca="false">(PumpPoints!K9+PumpPoints!L9)/Assumptions!$B$8</f>
        <v>53559.5725471155</v>
      </c>
      <c r="F9" s="22" t="n">
        <f aca="false">IF(C9="S",Assumptions!$B$24,IF(C9="A",Assumptions!$B$25,IF(C9="B",Assumptions!$B$26,Assumptions!$B$27)))</f>
        <v>0.003</v>
      </c>
      <c r="G9" s="24" t="n">
        <f aca="false">E9*F9</f>
        <v>160.678717641346</v>
      </c>
      <c r="H9" s="35" t="n">
        <f aca="false">G9/4</f>
        <v>40.1696794103366</v>
      </c>
      <c r="I9" s="24" t="n">
        <f aca="false">$H9*Assumptions!$B$47</f>
        <v>20.0848397051683</v>
      </c>
      <c r="J9" s="24" t="n">
        <f aca="false">$H9*Assumptions!$B$48</f>
        <v>30.1272595577525</v>
      </c>
      <c r="K9" s="24" t="n">
        <f aca="false">$H9*Assumptions!$B$49</f>
        <v>40.1696794103366</v>
      </c>
      <c r="L9" s="24" t="n">
        <f aca="false">$H9*Assumptions!$B$50</f>
        <v>40.1696794103366</v>
      </c>
      <c r="M9" s="24" t="n">
        <f aca="false">SUM(I9:L9)</f>
        <v>130.551458083594</v>
      </c>
    </row>
    <row r="10" customFormat="false" ht="15" hidden="false" customHeight="false" outlineLevel="0" collapsed="false">
      <c r="A10" s="29" t="str">
        <f aca="false">PumpPoints!A10</f>
        <v>Karachi</v>
      </c>
      <c r="B10" s="29" t="str">
        <f aca="false">PumpPoints!B10</f>
        <v>Malir</v>
      </c>
      <c r="C10" s="29" t="str">
        <f aca="false">PumpPoints!D10</f>
        <v>B</v>
      </c>
      <c r="D10" s="29" t="str">
        <f aca="false">PumpPoints!E10</f>
        <v>KHI-4</v>
      </c>
      <c r="E10" s="24" t="n">
        <f aca="false">(PumpPoints!K10+PumpPoints!L10)/Assumptions!$B$8</f>
        <v>50680.2912259632</v>
      </c>
      <c r="F10" s="22" t="n">
        <f aca="false">IF(C10="S",Assumptions!$B$24,IF(C10="A",Assumptions!$B$25,IF(C10="B",Assumptions!$B$26,Assumptions!$B$27)))</f>
        <v>0.015</v>
      </c>
      <c r="G10" s="24" t="n">
        <f aca="false">E10*F10</f>
        <v>760.204368389447</v>
      </c>
      <c r="H10" s="35" t="n">
        <f aca="false">G10/4</f>
        <v>190.051092097362</v>
      </c>
      <c r="I10" s="24" t="n">
        <f aca="false">$H10*Assumptions!$B$47</f>
        <v>95.0255460486809</v>
      </c>
      <c r="J10" s="24" t="n">
        <f aca="false">$H10*Assumptions!$B$48</f>
        <v>142.538319073021</v>
      </c>
      <c r="K10" s="24" t="n">
        <f aca="false">$H10*Assumptions!$B$49</f>
        <v>190.051092097362</v>
      </c>
      <c r="L10" s="24" t="n">
        <f aca="false">$H10*Assumptions!$B$50</f>
        <v>190.051092097362</v>
      </c>
      <c r="M10" s="24" t="n">
        <f aca="false">SUM(I10:L10)</f>
        <v>617.666049316426</v>
      </c>
    </row>
    <row r="11" customFormat="false" ht="15" hidden="false" customHeight="false" outlineLevel="0" collapsed="false">
      <c r="A11" s="29" t="str">
        <f aca="false">PumpPoints!A11</f>
        <v>Karachi</v>
      </c>
      <c r="B11" s="29" t="str">
        <f aca="false">PumpPoints!B11</f>
        <v>Karachi South</v>
      </c>
      <c r="C11" s="29" t="str">
        <f aca="false">PumpPoints!D11</f>
        <v>A</v>
      </c>
      <c r="D11" s="29" t="str">
        <f aca="false">PumpPoints!E11</f>
        <v>KHI-1</v>
      </c>
      <c r="E11" s="24" t="n">
        <f aca="false">(PumpPoints!K11+PumpPoints!L11)/Assumptions!$B$8</f>
        <v>37188.8793120816</v>
      </c>
      <c r="F11" s="22" t="n">
        <f aca="false">IF(C11="S",Assumptions!$B$24,IF(C11="A",Assumptions!$B$25,IF(C11="B",Assumptions!$B$26,Assumptions!$B$27)))</f>
        <v>0.04</v>
      </c>
      <c r="G11" s="24" t="n">
        <f aca="false">E11*F11</f>
        <v>1487.55517248327</v>
      </c>
      <c r="H11" s="35" t="n">
        <f aca="false">G11/4</f>
        <v>371.888793120816</v>
      </c>
      <c r="I11" s="24" t="n">
        <f aca="false">$H11*Assumptions!$B$47</f>
        <v>185.944396560408</v>
      </c>
      <c r="J11" s="24" t="n">
        <f aca="false">$H11*Assumptions!$B$48</f>
        <v>278.916594840612</v>
      </c>
      <c r="K11" s="24" t="n">
        <f aca="false">$H11*Assumptions!$B$49</f>
        <v>371.888793120816</v>
      </c>
      <c r="L11" s="24" t="n">
        <f aca="false">$H11*Assumptions!$B$50</f>
        <v>371.888793120816</v>
      </c>
      <c r="M11" s="24" t="n">
        <f aca="false">SUM(I11:L11)</f>
        <v>1208.63857764265</v>
      </c>
    </row>
    <row r="12" customFormat="false" ht="15" hidden="false" customHeight="false" outlineLevel="0" collapsed="false">
      <c r="A12" s="29" t="str">
        <f aca="false">PumpPoints!A12</f>
        <v>Karachi</v>
      </c>
      <c r="B12" s="29" t="str">
        <f aca="false">PumpPoints!B12</f>
        <v>Keamari</v>
      </c>
      <c r="C12" s="29" t="str">
        <f aca="false">PumpPoints!D12</f>
        <v>C</v>
      </c>
      <c r="D12" s="29" t="str">
        <f aca="false">PumpPoints!E12</f>
        <v>KHI-3</v>
      </c>
      <c r="E12" s="24" t="n">
        <f aca="false">(PumpPoints!K12+PumpPoints!L12)/Assumptions!$B$8</f>
        <v>33678.1798733993</v>
      </c>
      <c r="F12" s="22" t="n">
        <f aca="false">IF(C12="S",Assumptions!$B$24,IF(C12="A",Assumptions!$B$25,IF(C12="B",Assumptions!$B$26,Assumptions!$B$27)))</f>
        <v>0.003</v>
      </c>
      <c r="G12" s="24" t="n">
        <f aca="false">E12*F12</f>
        <v>101.034539620198</v>
      </c>
      <c r="H12" s="35" t="n">
        <f aca="false">G12/4</f>
        <v>25.2586349050495</v>
      </c>
      <c r="I12" s="24" t="n">
        <f aca="false">$H12*Assumptions!$B$47</f>
        <v>12.6293174525247</v>
      </c>
      <c r="J12" s="24" t="n">
        <f aca="false">$H12*Assumptions!$B$48</f>
        <v>18.9439761787871</v>
      </c>
      <c r="K12" s="24" t="n">
        <f aca="false">$H12*Assumptions!$B$49</f>
        <v>25.2586349050495</v>
      </c>
      <c r="L12" s="24" t="n">
        <f aca="false">$H12*Assumptions!$B$50</f>
        <v>25.2586349050495</v>
      </c>
      <c r="M12" s="24" t="n">
        <f aca="false">SUM(I12:L12)</f>
        <v>82.0905634414109</v>
      </c>
    </row>
    <row r="13" customFormat="false" ht="15" hidden="false" customHeight="false" outlineLevel="0" collapsed="false">
      <c r="A13" s="29" t="str">
        <f aca="false">PumpPoints!A13</f>
        <v>Lahore</v>
      </c>
      <c r="B13" s="29" t="str">
        <f aca="false">PumpPoints!B13</f>
        <v>Lahore City</v>
      </c>
      <c r="C13" s="29" t="str">
        <f aca="false">PumpPoints!D13</f>
        <v>C</v>
      </c>
      <c r="D13" s="29" t="str">
        <f aca="false">PumpPoints!E13</f>
        <v>LHE-2</v>
      </c>
      <c r="E13" s="24" t="n">
        <f aca="false">(PumpPoints!K13+PumpPoints!L13)/Assumptions!$B$8</f>
        <v>70740.2479457375</v>
      </c>
      <c r="F13" s="22" t="n">
        <f aca="false">IF(C13="S",Assumptions!$B$24,IF(C13="A",Assumptions!$B$25,IF(C13="B",Assumptions!$B$26,Assumptions!$B$27)))</f>
        <v>0.003</v>
      </c>
      <c r="G13" s="24" t="n">
        <f aca="false">E13*F13</f>
        <v>212.220743837213</v>
      </c>
      <c r="H13" s="35" t="n">
        <f aca="false">G13/4</f>
        <v>53.0551859593031</v>
      </c>
      <c r="I13" s="24" t="n">
        <f aca="false">$H13*Assumptions!$B$47</f>
        <v>26.5275929796516</v>
      </c>
      <c r="J13" s="24" t="n">
        <f aca="false">$H13*Assumptions!$B$48</f>
        <v>39.7913894694773</v>
      </c>
      <c r="K13" s="24" t="n">
        <f aca="false">$H13*Assumptions!$B$49</f>
        <v>53.0551859593031</v>
      </c>
      <c r="L13" s="24" t="n">
        <f aca="false">$H13*Assumptions!$B$50</f>
        <v>53.0551859593031</v>
      </c>
      <c r="M13" s="24" t="n">
        <f aca="false">SUM(I13:L13)</f>
        <v>172.429354367735</v>
      </c>
    </row>
    <row r="14" customFormat="false" ht="15" hidden="false" customHeight="false" outlineLevel="0" collapsed="false">
      <c r="A14" s="29" t="str">
        <f aca="false">PumpPoints!A14</f>
        <v>Lahore</v>
      </c>
      <c r="B14" s="29" t="str">
        <f aca="false">PumpPoints!B14</f>
        <v>Model Town</v>
      </c>
      <c r="C14" s="29" t="str">
        <f aca="false">PumpPoints!D14</f>
        <v>B</v>
      </c>
      <c r="D14" s="29" t="str">
        <f aca="false">PumpPoints!E14</f>
        <v>LHE-3</v>
      </c>
      <c r="E14" s="24" t="n">
        <f aca="false">(PumpPoints!K14+PumpPoints!L14)/Assumptions!$B$8</f>
        <v>55171.7583194955</v>
      </c>
      <c r="F14" s="22" t="n">
        <f aca="false">IF(C14="S",Assumptions!$B$24,IF(C14="A",Assumptions!$B$25,IF(C14="B",Assumptions!$B$26,Assumptions!$B$27)))</f>
        <v>0.015</v>
      </c>
      <c r="G14" s="24" t="n">
        <f aca="false">E14*F14</f>
        <v>827.576374792432</v>
      </c>
      <c r="H14" s="35" t="n">
        <f aca="false">G14/4</f>
        <v>206.894093698108</v>
      </c>
      <c r="I14" s="24" t="n">
        <f aca="false">$H14*Assumptions!$B$47</f>
        <v>103.447046849054</v>
      </c>
      <c r="J14" s="24" t="n">
        <f aca="false">$H14*Assumptions!$B$48</f>
        <v>155.170570273581</v>
      </c>
      <c r="K14" s="24" t="n">
        <f aca="false">$H14*Assumptions!$B$49</f>
        <v>206.894093698108</v>
      </c>
      <c r="L14" s="24" t="n">
        <f aca="false">$H14*Assumptions!$B$50</f>
        <v>206.894093698108</v>
      </c>
      <c r="M14" s="24" t="n">
        <f aca="false">SUM(I14:L14)</f>
        <v>672.405804518851</v>
      </c>
    </row>
    <row r="15" customFormat="false" ht="15" hidden="false" customHeight="false" outlineLevel="0" collapsed="false">
      <c r="A15" s="29" t="str">
        <f aca="false">PumpPoints!A15</f>
        <v>Lahore</v>
      </c>
      <c r="B15" s="29" t="str">
        <f aca="false">PumpPoints!B15</f>
        <v>Shalimar</v>
      </c>
      <c r="C15" s="29" t="str">
        <f aca="false">PumpPoints!D15</f>
        <v>C</v>
      </c>
      <c r="D15" s="29" t="str">
        <f aca="false">PumpPoints!E15</f>
        <v>LHE-2</v>
      </c>
      <c r="E15" s="24" t="n">
        <f aca="false">(PumpPoints!K15+PumpPoints!L15)/Assumptions!$B$8</f>
        <v>48918.3600801269</v>
      </c>
      <c r="F15" s="22" t="n">
        <f aca="false">IF(C15="S",Assumptions!$B$24,IF(C15="A",Assumptions!$B$25,IF(C15="B",Assumptions!$B$26,Assumptions!$B$27)))</f>
        <v>0.003</v>
      </c>
      <c r="G15" s="24" t="n">
        <f aca="false">E15*F15</f>
        <v>146.755080240381</v>
      </c>
      <c r="H15" s="35" t="n">
        <f aca="false">G15/4</f>
        <v>36.6887700600952</v>
      </c>
      <c r="I15" s="24" t="n">
        <f aca="false">$H15*Assumptions!$B$47</f>
        <v>18.3443850300476</v>
      </c>
      <c r="J15" s="24" t="n">
        <f aca="false">$H15*Assumptions!$B$48</f>
        <v>27.5165775450714</v>
      </c>
      <c r="K15" s="24" t="n">
        <f aca="false">$H15*Assumptions!$B$49</f>
        <v>36.6887700600952</v>
      </c>
      <c r="L15" s="24" t="n">
        <f aca="false">$H15*Assumptions!$B$50</f>
        <v>36.6887700600952</v>
      </c>
      <c r="M15" s="24" t="n">
        <f aca="false">SUM(I15:L15)</f>
        <v>119.238502695309</v>
      </c>
    </row>
    <row r="16" customFormat="false" ht="15" hidden="false" customHeight="false" outlineLevel="0" collapsed="false">
      <c r="A16" s="29" t="str">
        <f aca="false">PumpPoints!A16</f>
        <v>Lahore</v>
      </c>
      <c r="B16" s="29" t="str">
        <f aca="false">PumpPoints!B16</f>
        <v>Lahore Cantt</v>
      </c>
      <c r="C16" s="29" t="str">
        <f aca="false">PumpPoints!D16</f>
        <v>A</v>
      </c>
      <c r="D16" s="29" t="str">
        <f aca="false">PumpPoints!E16</f>
        <v>LHE-1</v>
      </c>
      <c r="E16" s="24" t="n">
        <f aca="false">(PumpPoints!K16+PumpPoints!L16)/Assumptions!$B$8</f>
        <v>38469.9694160414</v>
      </c>
      <c r="F16" s="22" t="n">
        <f aca="false">IF(C16="S",Assumptions!$B$24,IF(C16="A",Assumptions!$B$25,IF(C16="B",Assumptions!$B$26,Assumptions!$B$27)))</f>
        <v>0.04</v>
      </c>
      <c r="G16" s="24" t="n">
        <f aca="false">E16*F16</f>
        <v>1538.79877664166</v>
      </c>
      <c r="H16" s="35" t="n">
        <f aca="false">G16/4</f>
        <v>384.699694160414</v>
      </c>
      <c r="I16" s="24" t="n">
        <f aca="false">$H16*Assumptions!$B$47</f>
        <v>192.349847080207</v>
      </c>
      <c r="J16" s="24" t="n">
        <f aca="false">$H16*Assumptions!$B$48</f>
        <v>288.52477062031</v>
      </c>
      <c r="K16" s="24" t="n">
        <f aca="false">$H16*Assumptions!$B$49</f>
        <v>384.699694160414</v>
      </c>
      <c r="L16" s="24" t="n">
        <f aca="false">$H16*Assumptions!$B$50</f>
        <v>384.699694160414</v>
      </c>
      <c r="M16" s="24" t="n">
        <f aca="false">SUM(I16:L16)</f>
        <v>1250.27400602135</v>
      </c>
    </row>
    <row r="17" customFormat="false" ht="15" hidden="false" customHeight="false" outlineLevel="0" collapsed="false">
      <c r="A17" s="29" t="str">
        <f aca="false">PumpPoints!A17</f>
        <v>Lahore</v>
      </c>
      <c r="B17" s="29" t="str">
        <f aca="false">PumpPoints!B17</f>
        <v>Raiwind</v>
      </c>
      <c r="C17" s="29" t="str">
        <f aca="false">PumpPoints!D17</f>
        <v>B</v>
      </c>
      <c r="D17" s="29" t="str">
        <f aca="false">PumpPoints!E17</f>
        <v>LHE-1</v>
      </c>
      <c r="E17" s="24" t="n">
        <f aca="false">(PumpPoints!K17+PumpPoints!L17)/Assumptions!$B$8</f>
        <v>20552.9019035205</v>
      </c>
      <c r="F17" s="22" t="n">
        <f aca="false">IF(C17="S",Assumptions!$B$24,IF(C17="A",Assumptions!$B$25,IF(C17="B",Assumptions!$B$26,Assumptions!$B$27)))</f>
        <v>0.015</v>
      </c>
      <c r="G17" s="24" t="n">
        <f aca="false">E17*F17</f>
        <v>308.293528552807</v>
      </c>
      <c r="H17" s="35" t="n">
        <f aca="false">G17/4</f>
        <v>77.0733821382017</v>
      </c>
      <c r="I17" s="24" t="n">
        <f aca="false">$H17*Assumptions!$B$47</f>
        <v>38.5366910691009</v>
      </c>
      <c r="J17" s="24" t="n">
        <f aca="false">$H17*Assumptions!$B$48</f>
        <v>57.8050366036513</v>
      </c>
      <c r="K17" s="24" t="n">
        <f aca="false">$H17*Assumptions!$B$49</f>
        <v>77.0733821382017</v>
      </c>
      <c r="L17" s="24" t="n">
        <f aca="false">$H17*Assumptions!$B$50</f>
        <v>77.0733821382017</v>
      </c>
      <c r="M17" s="24" t="n">
        <f aca="false">SUM(I17:L17)</f>
        <v>250.488491949156</v>
      </c>
    </row>
    <row r="18" customFormat="false" ht="15" hidden="false" customHeight="false" outlineLevel="0" collapsed="false">
      <c r="A18" s="29" t="str">
        <f aca="false">PumpPoints!A18</f>
        <v>Multan</v>
      </c>
      <c r="B18" s="29" t="str">
        <f aca="false">PumpPoints!B18</f>
        <v>Multan City</v>
      </c>
      <c r="C18" s="29" t="str">
        <f aca="false">PumpPoints!D18</f>
        <v>B</v>
      </c>
      <c r="D18" s="29" t="str">
        <f aca="false">PumpPoints!E18</f>
        <v>MUX-1</v>
      </c>
      <c r="E18" s="24" t="n">
        <f aca="false">(PumpPoints!K18+PumpPoints!L18)/Assumptions!$B$8</f>
        <v>47087.8569139503</v>
      </c>
      <c r="F18" s="22" t="n">
        <f aca="false">IF(C18="S",Assumptions!$B$24,IF(C18="A",Assumptions!$B$25,IF(C18="B",Assumptions!$B$26,Assumptions!$B$27)))</f>
        <v>0.015</v>
      </c>
      <c r="G18" s="24" t="n">
        <f aca="false">E18*F18</f>
        <v>706.317853709255</v>
      </c>
      <c r="H18" s="35" t="n">
        <f aca="false">G18/4</f>
        <v>176.579463427314</v>
      </c>
      <c r="I18" s="24" t="n">
        <f aca="false">$H18*Assumptions!$B$47</f>
        <v>88.2897317136569</v>
      </c>
      <c r="J18" s="24" t="n">
        <f aca="false">$H18*Assumptions!$B$48</f>
        <v>132.434597570485</v>
      </c>
      <c r="K18" s="24" t="n">
        <f aca="false">$H18*Assumptions!$B$49</f>
        <v>176.579463427314</v>
      </c>
      <c r="L18" s="24" t="n">
        <f aca="false">$H18*Assumptions!$B$50</f>
        <v>176.579463427314</v>
      </c>
      <c r="M18" s="24" t="n">
        <f aca="false">SUM(I18:L18)</f>
        <v>573.88325613877</v>
      </c>
    </row>
    <row r="19" customFormat="false" ht="15" hidden="false" customHeight="false" outlineLevel="0" collapsed="false">
      <c r="A19" s="29" t="str">
        <f aca="false">PumpPoints!A19</f>
        <v>Multan</v>
      </c>
      <c r="B19" s="29" t="str">
        <f aca="false">PumpPoints!B19</f>
        <v>Multan Saddar</v>
      </c>
      <c r="C19" s="29" t="str">
        <f aca="false">PumpPoints!D19</f>
        <v>C</v>
      </c>
      <c r="D19" s="29" t="str">
        <f aca="false">PumpPoints!E19</f>
        <v>MUX-1</v>
      </c>
      <c r="E19" s="24" t="n">
        <f aca="false">(PumpPoints!K19+PumpPoints!L19)/Assumptions!$B$8</f>
        <v>33228.5821178764</v>
      </c>
      <c r="F19" s="22" t="n">
        <f aca="false">IF(C19="S",Assumptions!$B$24,IF(C19="A",Assumptions!$B$25,IF(C19="B",Assumptions!$B$26,Assumptions!$B$27)))</f>
        <v>0.003</v>
      </c>
      <c r="G19" s="24" t="n">
        <f aca="false">E19*F19</f>
        <v>99.6857463536293</v>
      </c>
      <c r="H19" s="35" t="n">
        <f aca="false">G19/4</f>
        <v>24.9214365884073</v>
      </c>
      <c r="I19" s="24" t="n">
        <f aca="false">$H19*Assumptions!$B$47</f>
        <v>12.4607182942037</v>
      </c>
      <c r="J19" s="24" t="n">
        <f aca="false">$H19*Assumptions!$B$48</f>
        <v>18.6910774413055</v>
      </c>
      <c r="K19" s="24" t="n">
        <f aca="false">$H19*Assumptions!$B$49</f>
        <v>24.9214365884073</v>
      </c>
      <c r="L19" s="24" t="n">
        <f aca="false">$H19*Assumptions!$B$50</f>
        <v>24.9214365884073</v>
      </c>
      <c r="M19" s="24" t="n">
        <f aca="false">SUM(I19:L19)</f>
        <v>80.9946689123238</v>
      </c>
    </row>
    <row r="20" customFormat="false" ht="15" hidden="false" customHeight="false" outlineLevel="0" collapsed="false">
      <c r="A20" s="29" t="str">
        <f aca="false">PumpPoints!A20</f>
        <v>Multan</v>
      </c>
      <c r="B20" s="29" t="str">
        <f aca="false">PumpPoints!B20</f>
        <v>Shujabad</v>
      </c>
      <c r="C20" s="29" t="str">
        <f aca="false">PumpPoints!D20</f>
        <v>C</v>
      </c>
      <c r="D20" s="29" t="str">
        <f aca="false">PumpPoints!E20</f>
        <v>MUX-1</v>
      </c>
      <c r="E20" s="24" t="n">
        <f aca="false">(PumpPoints!K20+PumpPoints!L20)/Assumptions!$B$8</f>
        <v>15190.8039586871</v>
      </c>
      <c r="F20" s="22" t="n">
        <f aca="false">IF(C20="S",Assumptions!$B$24,IF(C20="A",Assumptions!$B$25,IF(C20="B",Assumptions!$B$26,Assumptions!$B$27)))</f>
        <v>0.003</v>
      </c>
      <c r="G20" s="24" t="n">
        <f aca="false">E20*F20</f>
        <v>45.5724118760614</v>
      </c>
      <c r="H20" s="35" t="n">
        <f aca="false">G20/4</f>
        <v>11.3931029690154</v>
      </c>
      <c r="I20" s="24" t="n">
        <f aca="false">$H20*Assumptions!$B$47</f>
        <v>5.69655148450768</v>
      </c>
      <c r="J20" s="24" t="n">
        <f aca="false">$H20*Assumptions!$B$48</f>
        <v>8.54482722676151</v>
      </c>
      <c r="K20" s="24" t="n">
        <f aca="false">$H20*Assumptions!$B$49</f>
        <v>11.3931029690154</v>
      </c>
      <c r="L20" s="24" t="n">
        <f aca="false">$H20*Assumptions!$B$50</f>
        <v>11.3931029690154</v>
      </c>
      <c r="M20" s="24" t="n">
        <f aca="false">SUM(I20:L20)</f>
        <v>37.0275846492999</v>
      </c>
    </row>
    <row r="21" customFormat="false" ht="15" hidden="false" customHeight="false" outlineLevel="0" collapsed="false">
      <c r="A21" s="29" t="str">
        <f aca="false">PumpPoints!A21</f>
        <v>Multan</v>
      </c>
      <c r="B21" s="29" t="str">
        <f aca="false">PumpPoints!B21</f>
        <v>Jalalpur Pirwala</v>
      </c>
      <c r="C21" s="29" t="str">
        <f aca="false">PumpPoints!D21</f>
        <v>C</v>
      </c>
      <c r="D21" s="29" t="str">
        <f aca="false">PumpPoints!E21</f>
        <v>MUX-1</v>
      </c>
      <c r="E21" s="24" t="n">
        <f aca="false">(PumpPoints!K21+PumpPoints!L21)/Assumptions!$B$8</f>
        <v>13732.100732696</v>
      </c>
      <c r="F21" s="22" t="n">
        <f aca="false">IF(C21="S",Assumptions!$B$24,IF(C21="A",Assumptions!$B$25,IF(C21="B",Assumptions!$B$26,Assumptions!$B$27)))</f>
        <v>0.003</v>
      </c>
      <c r="G21" s="24" t="n">
        <f aca="false">E21*F21</f>
        <v>41.1963021980879</v>
      </c>
      <c r="H21" s="35" t="n">
        <f aca="false">G21/4</f>
        <v>10.299075549522</v>
      </c>
      <c r="I21" s="24" t="n">
        <f aca="false">$H21*Assumptions!$B$47</f>
        <v>5.14953777476099</v>
      </c>
      <c r="J21" s="24" t="n">
        <f aca="false">$H21*Assumptions!$B$48</f>
        <v>7.72430666214148</v>
      </c>
      <c r="K21" s="24" t="n">
        <f aca="false">$H21*Assumptions!$B$49</f>
        <v>10.299075549522</v>
      </c>
      <c r="L21" s="24" t="n">
        <f aca="false">$H21*Assumptions!$B$50</f>
        <v>10.299075549522</v>
      </c>
      <c r="M21" s="24" t="n">
        <f aca="false">SUM(I21:L21)</f>
        <v>33.4719955359464</v>
      </c>
    </row>
    <row r="22" customFormat="false" ht="15" hidden="false" customHeight="false" outlineLevel="0" collapsed="false">
      <c r="A22" s="29" t="str">
        <f aca="false">PumpPoints!A22</f>
        <v>Peshawar</v>
      </c>
      <c r="B22" s="29" t="str">
        <f aca="false">PumpPoints!B22</f>
        <v>Peshawar City</v>
      </c>
      <c r="C22" s="29" t="str">
        <f aca="false">PumpPoints!D22</f>
        <v>B</v>
      </c>
      <c r="D22" s="29" t="str">
        <f aca="false">PumpPoints!E22</f>
        <v>PEW-1</v>
      </c>
      <c r="E22" s="24" t="n">
        <f aca="false">(PumpPoints!K22+PumpPoints!L22)/Assumptions!$B$8</f>
        <v>28117.4106934691</v>
      </c>
      <c r="F22" s="22" t="n">
        <f aca="false">IF(C22="S",Assumptions!$B$24,IF(C22="A",Assumptions!$B$25,IF(C22="B",Assumptions!$B$26,Assumptions!$B$27)))</f>
        <v>0.015</v>
      </c>
      <c r="G22" s="24" t="n">
        <f aca="false">E22*F22</f>
        <v>421.761160402036</v>
      </c>
      <c r="H22" s="35" t="n">
        <f aca="false">G22/4</f>
        <v>105.440290100509</v>
      </c>
      <c r="I22" s="24" t="n">
        <f aca="false">$H22*Assumptions!$B$47</f>
        <v>52.7201450502545</v>
      </c>
      <c r="J22" s="24" t="n">
        <f aca="false">$H22*Assumptions!$B$48</f>
        <v>79.0802175753817</v>
      </c>
      <c r="K22" s="24" t="n">
        <f aca="false">$H22*Assumptions!$B$49</f>
        <v>105.440290100509</v>
      </c>
      <c r="L22" s="24" t="n">
        <f aca="false">$H22*Assumptions!$B$50</f>
        <v>105.440290100509</v>
      </c>
      <c r="M22" s="24" t="n">
        <f aca="false">SUM(I22:L22)</f>
        <v>342.680942826654</v>
      </c>
    </row>
    <row r="23" customFormat="false" ht="15" hidden="false" customHeight="false" outlineLevel="0" collapsed="false">
      <c r="A23" s="29" t="str">
        <f aca="false">PumpPoints!A23</f>
        <v>Peshawar</v>
      </c>
      <c r="B23" s="29" t="str">
        <f aca="false">PumpPoints!B23</f>
        <v>East Ring</v>
      </c>
      <c r="C23" s="29" t="str">
        <f aca="false">PumpPoints!D23</f>
        <v>C</v>
      </c>
      <c r="D23" s="29" t="str">
        <f aca="false">PumpPoints!E23</f>
        <v>PEW-1</v>
      </c>
      <c r="E23" s="24" t="n">
        <f aca="false">(PumpPoints!K23+PumpPoints!L23)/Assumptions!$B$8</f>
        <v>25909.6570033024</v>
      </c>
      <c r="F23" s="22" t="n">
        <f aca="false">IF(C23="S",Assumptions!$B$24,IF(C23="A",Assumptions!$B$25,IF(C23="B",Assumptions!$B$26,Assumptions!$B$27)))</f>
        <v>0.003</v>
      </c>
      <c r="G23" s="24" t="n">
        <f aca="false">E23*F23</f>
        <v>77.7289710099071</v>
      </c>
      <c r="H23" s="35" t="n">
        <f aca="false">G23/4</f>
        <v>19.4322427524768</v>
      </c>
      <c r="I23" s="24" t="n">
        <f aca="false">$H23*Assumptions!$B$47</f>
        <v>9.71612137623839</v>
      </c>
      <c r="J23" s="24" t="n">
        <f aca="false">$H23*Assumptions!$B$48</f>
        <v>14.5741820643576</v>
      </c>
      <c r="K23" s="24" t="n">
        <f aca="false">$H23*Assumptions!$B$49</f>
        <v>19.4322427524768</v>
      </c>
      <c r="L23" s="24" t="n">
        <f aca="false">$H23*Assumptions!$B$50</f>
        <v>19.4322427524768</v>
      </c>
      <c r="M23" s="24" t="n">
        <f aca="false">SUM(I23:L23)</f>
        <v>63.1547889455495</v>
      </c>
    </row>
    <row r="24" customFormat="false" ht="15" hidden="false" customHeight="false" outlineLevel="0" collapsed="false">
      <c r="A24" s="29" t="str">
        <f aca="false">PumpPoints!A24</f>
        <v>Peshawar</v>
      </c>
      <c r="B24" s="29" t="str">
        <f aca="false">PumpPoints!B24</f>
        <v>North-West Ring</v>
      </c>
      <c r="C24" s="29" t="str">
        <f aca="false">PumpPoints!D24</f>
        <v>C</v>
      </c>
      <c r="D24" s="29" t="str">
        <f aca="false">PumpPoints!E24</f>
        <v>PEW-1</v>
      </c>
      <c r="E24" s="24" t="n">
        <f aca="false">(PumpPoints!K24+PumpPoints!L24)/Assumptions!$B$8</f>
        <v>19678.0265921023</v>
      </c>
      <c r="F24" s="22" t="n">
        <f aca="false">IF(C24="S",Assumptions!$B$24,IF(C24="A",Assumptions!$B$25,IF(C24="B",Assumptions!$B$26,Assumptions!$B$27)))</f>
        <v>0.003</v>
      </c>
      <c r="G24" s="24" t="n">
        <f aca="false">E24*F24</f>
        <v>59.034079776307</v>
      </c>
      <c r="H24" s="35" t="n">
        <f aca="false">G24/4</f>
        <v>14.7585199440768</v>
      </c>
      <c r="I24" s="24" t="n">
        <f aca="false">$H24*Assumptions!$B$47</f>
        <v>7.37925997203838</v>
      </c>
      <c r="J24" s="24" t="n">
        <f aca="false">$H24*Assumptions!$B$48</f>
        <v>11.0688899580576</v>
      </c>
      <c r="K24" s="24" t="n">
        <f aca="false">$H24*Assumptions!$B$49</f>
        <v>14.7585199440768</v>
      </c>
      <c r="L24" s="24" t="n">
        <f aca="false">$H24*Assumptions!$B$50</f>
        <v>14.7585199440768</v>
      </c>
      <c r="M24" s="24" t="n">
        <f aca="false">SUM(I24:L24)</f>
        <v>47.9651898182495</v>
      </c>
    </row>
    <row r="25" customFormat="false" ht="15" hidden="false" customHeight="false" outlineLevel="0" collapsed="false">
      <c r="A25" s="29" t="str">
        <f aca="false">PumpPoints!A25</f>
        <v>Peshawar</v>
      </c>
      <c r="B25" s="29" t="str">
        <f aca="false">PumpPoints!B25</f>
        <v>South Belt</v>
      </c>
      <c r="C25" s="29" t="str">
        <f aca="false">PumpPoints!D25</f>
        <v>C</v>
      </c>
      <c r="D25" s="29" t="str">
        <f aca="false">PumpPoints!E25</f>
        <v>PEW-1</v>
      </c>
      <c r="E25" s="24" t="n">
        <f aca="false">(PumpPoints!K25+PumpPoints!L25)/Assumptions!$B$8</f>
        <v>9756.9829667991</v>
      </c>
      <c r="F25" s="22" t="n">
        <f aca="false">IF(C25="S",Assumptions!$B$24,IF(C25="A",Assumptions!$B$25,IF(C25="B",Assumptions!$B$26,Assumptions!$B$27)))</f>
        <v>0.003</v>
      </c>
      <c r="G25" s="24" t="n">
        <f aca="false">E25*F25</f>
        <v>29.2709489003973</v>
      </c>
      <c r="H25" s="35" t="n">
        <f aca="false">G25/4</f>
        <v>7.31773722509933</v>
      </c>
      <c r="I25" s="24" t="n">
        <f aca="false">$H25*Assumptions!$B$47</f>
        <v>3.65886861254966</v>
      </c>
      <c r="J25" s="24" t="n">
        <f aca="false">$H25*Assumptions!$B$48</f>
        <v>5.4883029188245</v>
      </c>
      <c r="K25" s="24" t="n">
        <f aca="false">$H25*Assumptions!$B$49</f>
        <v>7.31773722509933</v>
      </c>
      <c r="L25" s="24" t="n">
        <f aca="false">$H25*Assumptions!$B$50</f>
        <v>7.31773722509933</v>
      </c>
      <c r="M25" s="24" t="n">
        <f aca="false">SUM(I25:L25)</f>
        <v>23.7826459815728</v>
      </c>
    </row>
    <row r="26" customFormat="false" ht="15" hidden="false" customHeight="false" outlineLevel="0" collapsed="false">
      <c r="A26" s="29" t="str">
        <f aca="false">PumpPoints!A26</f>
        <v>Islamabad</v>
      </c>
      <c r="B26" s="29" t="str">
        <f aca="false">PumpPoints!B26</f>
        <v>ICT Rural belt</v>
      </c>
      <c r="C26" s="29" t="str">
        <f aca="false">PumpPoints!D26</f>
        <v>B</v>
      </c>
      <c r="D26" s="29" t="str">
        <f aca="false">PumpPoints!E26</f>
        <v>ISB-1</v>
      </c>
      <c r="E26" s="24" t="n">
        <f aca="false">(PumpPoints!K26+PumpPoints!L26)/Assumptions!$B$8</f>
        <v>29139.7420320755</v>
      </c>
      <c r="F26" s="22" t="n">
        <f aca="false">IF(C26="S",Assumptions!$B$24,IF(C26="A",Assumptions!$B$25,IF(C26="B",Assumptions!$B$26,Assumptions!$B$27)))</f>
        <v>0.015</v>
      </c>
      <c r="G26" s="24" t="n">
        <f aca="false">E26*F26</f>
        <v>437.096130481132</v>
      </c>
      <c r="H26" s="35" t="n">
        <f aca="false">G26/4</f>
        <v>109.274032620283</v>
      </c>
      <c r="I26" s="24" t="n">
        <f aca="false">$H26*Assumptions!$B$47</f>
        <v>54.6370163101416</v>
      </c>
      <c r="J26" s="24" t="n">
        <f aca="false">$H26*Assumptions!$B$48</f>
        <v>81.9555244652123</v>
      </c>
      <c r="K26" s="24" t="n">
        <f aca="false">$H26*Assumptions!$B$49</f>
        <v>109.274032620283</v>
      </c>
      <c r="L26" s="24" t="n">
        <f aca="false">$H26*Assumptions!$B$50</f>
        <v>109.274032620283</v>
      </c>
      <c r="M26" s="24" t="n">
        <f aca="false">SUM(I26:L26)</f>
        <v>355.14060601592</v>
      </c>
    </row>
    <row r="27" customFormat="false" ht="15" hidden="false" customHeight="false" outlineLevel="0" collapsed="false">
      <c r="A27" s="29" t="str">
        <f aca="false">PumpPoints!A27</f>
        <v>Islamabad</v>
      </c>
      <c r="B27" s="29" t="str">
        <f aca="false">PumpPoints!B27</f>
        <v>ICT Urban</v>
      </c>
      <c r="C27" s="29" t="str">
        <f aca="false">PumpPoints!D27</f>
        <v>A</v>
      </c>
      <c r="D27" s="29" t="str">
        <f aca="false">PumpPoints!E27</f>
        <v>ISB-1</v>
      </c>
      <c r="E27" s="24" t="n">
        <f aca="false">(PumpPoints!K27+PumpPoints!L27)/Assumptions!$B$8</f>
        <v>16914.7007152659</v>
      </c>
      <c r="F27" s="22" t="n">
        <f aca="false">IF(C27="S",Assumptions!$B$24,IF(C27="A",Assumptions!$B$25,IF(C27="B",Assumptions!$B$26,Assumptions!$B$27)))</f>
        <v>0.04</v>
      </c>
      <c r="G27" s="24" t="n">
        <f aca="false">E27*F27</f>
        <v>676.588028610635</v>
      </c>
      <c r="H27" s="35" t="n">
        <f aca="false">G27/4</f>
        <v>169.147007152659</v>
      </c>
      <c r="I27" s="24" t="n">
        <f aca="false">$H27*Assumptions!$B$47</f>
        <v>84.5735035763294</v>
      </c>
      <c r="J27" s="24" t="n">
        <f aca="false">$H27*Assumptions!$B$48</f>
        <v>126.860255364494</v>
      </c>
      <c r="K27" s="24" t="n">
        <f aca="false">$H27*Assumptions!$B$49</f>
        <v>169.147007152659</v>
      </c>
      <c r="L27" s="24" t="n">
        <f aca="false">$H27*Assumptions!$B$50</f>
        <v>169.147007152659</v>
      </c>
      <c r="M27" s="24" t="n">
        <f aca="false">SUM(I27:L27)</f>
        <v>549.727773246141</v>
      </c>
    </row>
    <row r="28" customFormat="false" ht="15" hidden="false" customHeight="false" outlineLevel="0" collapsed="false">
      <c r="A28" s="29" t="str">
        <f aca="false">PumpPoints!A28</f>
        <v>Karachi</v>
      </c>
      <c r="B28" s="29" t="str">
        <f aca="false">PumpPoints!B28</f>
        <v>DHA Phase VIII + Sahil</v>
      </c>
      <c r="C28" s="29" t="str">
        <f aca="false">PumpPoints!D28</f>
        <v>S</v>
      </c>
      <c r="D28" s="29" t="str">
        <f aca="false">PumpPoints!E28</f>
        <v>KHI-1</v>
      </c>
      <c r="E28" s="24" t="n">
        <f aca="false">(PumpPoints!K28+PumpPoints!L28)/Assumptions!$B$8</f>
        <v>1746.141292196</v>
      </c>
      <c r="F28" s="22" t="n">
        <f aca="false">IF(C28="S",Assumptions!$B$24,IF(C28="A",Assumptions!$B$25,IF(C28="B",Assumptions!$B$26,Assumptions!$B$27)))</f>
        <v>0.06</v>
      </c>
      <c r="G28" s="24" t="n">
        <f aca="false">E28*F28</f>
        <v>104.76847753176</v>
      </c>
      <c r="H28" s="35" t="n">
        <f aca="false">G28/4</f>
        <v>26.19211938294</v>
      </c>
      <c r="I28" s="24" t="n">
        <f aca="false">$H28*Assumptions!$B$47</f>
        <v>13.09605969147</v>
      </c>
      <c r="J28" s="24" t="n">
        <f aca="false">$H28*Assumptions!$B$48</f>
        <v>19.644089537205</v>
      </c>
      <c r="K28" s="24" t="n">
        <f aca="false">$H28*Assumptions!$B$49</f>
        <v>26.19211938294</v>
      </c>
      <c r="L28" s="24" t="n">
        <f aca="false">$H28*Assumptions!$B$50</f>
        <v>26.19211938294</v>
      </c>
      <c r="M28" s="24" t="n">
        <f aca="false">SUM(I28:L28)</f>
        <v>85.124387994555</v>
      </c>
    </row>
    <row r="29" customFormat="false" ht="15" hidden="false" customHeight="false" outlineLevel="0" collapsed="false">
      <c r="A29" s="29" t="str">
        <f aca="false">PumpPoints!A29</f>
        <v>Karachi</v>
      </c>
      <c r="B29" s="29" t="str">
        <f aca="false">PumpPoints!B29</f>
        <v>Bahria Town Karachi</v>
      </c>
      <c r="C29" s="29" t="str">
        <f aca="false">PumpPoints!D29</f>
        <v>S</v>
      </c>
      <c r="D29" s="29" t="str">
        <f aca="false">PumpPoints!E29</f>
        <v>KHI-4</v>
      </c>
      <c r="E29" s="24" t="n">
        <f aca="false">(PumpPoints!K29+PumpPoints!L29)/Assumptions!$B$8</f>
        <v>1309.605969147</v>
      </c>
      <c r="F29" s="22" t="n">
        <f aca="false">IF(C29="S",Assumptions!$B$24,IF(C29="A",Assumptions!$B$25,IF(C29="B",Assumptions!$B$26,Assumptions!$B$27)))</f>
        <v>0.06</v>
      </c>
      <c r="G29" s="24" t="n">
        <f aca="false">E29*F29</f>
        <v>78.57635814882</v>
      </c>
      <c r="H29" s="35" t="n">
        <f aca="false">G29/4</f>
        <v>19.644089537205</v>
      </c>
      <c r="I29" s="24" t="n">
        <f aca="false">$H29*Assumptions!$B$47</f>
        <v>9.8220447686025</v>
      </c>
      <c r="J29" s="24" t="n">
        <f aca="false">$H29*Assumptions!$B$48</f>
        <v>14.7330671529037</v>
      </c>
      <c r="K29" s="24" t="n">
        <f aca="false">$H29*Assumptions!$B$49</f>
        <v>19.644089537205</v>
      </c>
      <c r="L29" s="24" t="n">
        <f aca="false">$H29*Assumptions!$B$50</f>
        <v>19.644089537205</v>
      </c>
      <c r="M29" s="24" t="n">
        <f aca="false">SUM(I29:L29)</f>
        <v>63.8432909959162</v>
      </c>
    </row>
    <row r="30" customFormat="false" ht="15" hidden="false" customHeight="false" outlineLevel="0" collapsed="false">
      <c r="A30" s="29" t="str">
        <f aca="false">PumpPoints!A30</f>
        <v>Lahore</v>
      </c>
      <c r="B30" s="29" t="str">
        <f aca="false">PumpPoints!B30</f>
        <v>DHA Lahore VII-IX + EME</v>
      </c>
      <c r="C30" s="29" t="str">
        <f aca="false">PumpPoints!D30</f>
        <v>S</v>
      </c>
      <c r="D30" s="29" t="str">
        <f aca="false">PumpPoints!E30</f>
        <v>LHE-1</v>
      </c>
      <c r="E30" s="24" t="n">
        <f aca="false">(PumpPoints!K30+PumpPoints!L30)/Assumptions!$B$8</f>
        <v>2037.16484089533</v>
      </c>
      <c r="F30" s="22" t="n">
        <f aca="false">IF(C30="S",Assumptions!$B$24,IF(C30="A",Assumptions!$B$25,IF(C30="B",Assumptions!$B$26,Assumptions!$B$27)))</f>
        <v>0.06</v>
      </c>
      <c r="G30" s="24" t="n">
        <f aca="false">E30*F30</f>
        <v>122.22989045372</v>
      </c>
      <c r="H30" s="35" t="n">
        <f aca="false">G30/4</f>
        <v>30.55747261343</v>
      </c>
      <c r="I30" s="24" t="n">
        <f aca="false">$H30*Assumptions!$B$47</f>
        <v>15.278736306715</v>
      </c>
      <c r="J30" s="24" t="n">
        <f aca="false">$H30*Assumptions!$B$48</f>
        <v>22.9181044600725</v>
      </c>
      <c r="K30" s="24" t="n">
        <f aca="false">$H30*Assumptions!$B$49</f>
        <v>30.55747261343</v>
      </c>
      <c r="L30" s="24" t="n">
        <f aca="false">$H30*Assumptions!$B$50</f>
        <v>30.55747261343</v>
      </c>
      <c r="M30" s="24" t="n">
        <f aca="false">SUM(I30:L30)</f>
        <v>99.3117859936475</v>
      </c>
    </row>
    <row r="31" customFormat="false" ht="15" hidden="false" customHeight="false" outlineLevel="0" collapsed="false">
      <c r="A31" s="29" t="str">
        <f aca="false">PumpPoints!A31</f>
        <v>Lahore</v>
      </c>
      <c r="B31" s="29" t="str">
        <f aca="false">PumpPoints!B31</f>
        <v>Bahria Town Lahore + Lake City</v>
      </c>
      <c r="C31" s="29" t="str">
        <f aca="false">PumpPoints!D31</f>
        <v>S</v>
      </c>
      <c r="D31" s="29" t="str">
        <f aca="false">PumpPoints!E31</f>
        <v>LHE-1</v>
      </c>
      <c r="E31" s="24" t="n">
        <f aca="false">(PumpPoints!K31+PumpPoints!L31)/Assumptions!$B$8</f>
        <v>1018.58242044767</v>
      </c>
      <c r="F31" s="22" t="n">
        <f aca="false">IF(C31="S",Assumptions!$B$24,IF(C31="A",Assumptions!$B$25,IF(C31="B",Assumptions!$B$26,Assumptions!$B$27)))</f>
        <v>0.06</v>
      </c>
      <c r="G31" s="24" t="n">
        <f aca="false">E31*F31</f>
        <v>61.11494522686</v>
      </c>
      <c r="H31" s="35" t="n">
        <f aca="false">G31/4</f>
        <v>15.278736306715</v>
      </c>
      <c r="I31" s="24" t="n">
        <f aca="false">$H31*Assumptions!$B$47</f>
        <v>7.6393681533575</v>
      </c>
      <c r="J31" s="24" t="n">
        <f aca="false">$H31*Assumptions!$B$48</f>
        <v>11.4590522300363</v>
      </c>
      <c r="K31" s="24" t="n">
        <f aca="false">$H31*Assumptions!$B$49</f>
        <v>15.278736306715</v>
      </c>
      <c r="L31" s="24" t="n">
        <f aca="false">$H31*Assumptions!$B$50</f>
        <v>15.278736306715</v>
      </c>
      <c r="M31" s="24" t="n">
        <f aca="false">SUM(I31:L31)</f>
        <v>49.6558929968237</v>
      </c>
    </row>
    <row r="32" customFormat="false" ht="15" hidden="false" customHeight="false" outlineLevel="0" collapsed="false">
      <c r="A32" s="29" t="str">
        <f aca="false">PumpPoints!A32</f>
        <v>Islamabad</v>
      </c>
      <c r="B32" s="29" t="str">
        <f aca="false">PumpPoints!B32</f>
        <v>DHA Islamabad + Bahria Enclave</v>
      </c>
      <c r="C32" s="29" t="str">
        <f aca="false">PumpPoints!D32</f>
        <v>S</v>
      </c>
      <c r="D32" s="29" t="str">
        <f aca="false">PumpPoints!E32</f>
        <v>ISB-1</v>
      </c>
      <c r="E32" s="24" t="n">
        <f aca="false">(PumpPoints!K32+PumpPoints!L32)/Assumptions!$B$8</f>
        <v>1164.09419479733</v>
      </c>
      <c r="F32" s="22" t="n">
        <f aca="false">IF(C32="S",Assumptions!$B$24,IF(C32="A",Assumptions!$B$25,IF(C32="B",Assumptions!$B$26,Assumptions!$B$27)))</f>
        <v>0.06</v>
      </c>
      <c r="G32" s="24" t="n">
        <f aca="false">E32*F32</f>
        <v>69.84565168784</v>
      </c>
      <c r="H32" s="35" t="n">
        <f aca="false">G32/4</f>
        <v>17.46141292196</v>
      </c>
      <c r="I32" s="24" t="n">
        <f aca="false">$H32*Assumptions!$B$47</f>
        <v>8.73070646098</v>
      </c>
      <c r="J32" s="24" t="n">
        <f aca="false">$H32*Assumptions!$B$48</f>
        <v>13.09605969147</v>
      </c>
      <c r="K32" s="24" t="n">
        <f aca="false">$H32*Assumptions!$B$49</f>
        <v>17.46141292196</v>
      </c>
      <c r="L32" s="24" t="n">
        <f aca="false">$H32*Assumptions!$B$50</f>
        <v>17.46141292196</v>
      </c>
      <c r="M32" s="24" t="n">
        <f aca="false">SUM(I32:L32)</f>
        <v>56.74959199637</v>
      </c>
    </row>
    <row r="33" customFormat="false" ht="15" hidden="false" customHeight="false" outlineLevel="0" collapsed="false">
      <c r="A33" s="29" t="str">
        <f aca="false">PumpPoints!A33</f>
        <v>Peshawar</v>
      </c>
      <c r="B33" s="29" t="str">
        <f aca="false">PumpPoints!B33</f>
        <v>Hayatabad Ph 6-7 + DHA Peshawar</v>
      </c>
      <c r="C33" s="29" t="str">
        <f aca="false">PumpPoints!D33</f>
        <v>S</v>
      </c>
      <c r="D33" s="29" t="str">
        <f aca="false">PumpPoints!E33</f>
        <v>PEW-1</v>
      </c>
      <c r="E33" s="24" t="n">
        <f aca="false">(PumpPoints!K33+PumpPoints!L33)/Assumptions!$B$8</f>
        <v>727.558871748333</v>
      </c>
      <c r="F33" s="22" t="n">
        <f aca="false">IF(C33="S",Assumptions!$B$24,IF(C33="A",Assumptions!$B$25,IF(C33="B",Assumptions!$B$26,Assumptions!$B$27)))</f>
        <v>0.06</v>
      </c>
      <c r="G33" s="24" t="n">
        <f aca="false">E33*F33</f>
        <v>43.6535323049</v>
      </c>
      <c r="H33" s="35" t="n">
        <f aca="false">G33/4</f>
        <v>10.913383076225</v>
      </c>
      <c r="I33" s="24" t="n">
        <f aca="false">$H33*Assumptions!$B$47</f>
        <v>5.4566915381125</v>
      </c>
      <c r="J33" s="24" t="n">
        <f aca="false">$H33*Assumptions!$B$48</f>
        <v>8.18503730716875</v>
      </c>
      <c r="K33" s="24" t="n">
        <f aca="false">$H33*Assumptions!$B$49</f>
        <v>10.913383076225</v>
      </c>
      <c r="L33" s="24" t="n">
        <f aca="false">$H33*Assumptions!$B$50</f>
        <v>10.913383076225</v>
      </c>
      <c r="M33" s="24" t="n">
        <f aca="false">SUM(I33:L33)</f>
        <v>35.4684949977312</v>
      </c>
    </row>
    <row r="34" customFormat="false" ht="15" hidden="false" customHeight="false" outlineLevel="0" collapsed="false">
      <c r="A34" s="29" t="str">
        <f aca="false">PumpPoints!A34</f>
        <v>Multan</v>
      </c>
      <c r="B34" s="29" t="str">
        <f aca="false">PumpPoints!B34</f>
        <v>DHA Multan</v>
      </c>
      <c r="C34" s="29" t="str">
        <f aca="false">PumpPoints!D34</f>
        <v>S</v>
      </c>
      <c r="D34" s="29" t="str">
        <f aca="false">PumpPoints!E34</f>
        <v>MUX-1</v>
      </c>
      <c r="E34" s="24" t="n">
        <f aca="false">(PumpPoints!K34+PumpPoints!L34)/Assumptions!$B$8</f>
        <v>582.047097398666</v>
      </c>
      <c r="F34" s="22" t="n">
        <f aca="false">IF(C34="S",Assumptions!$B$24,IF(C34="A",Assumptions!$B$25,IF(C34="B",Assumptions!$B$26,Assumptions!$B$27)))</f>
        <v>0.06</v>
      </c>
      <c r="G34" s="24" t="n">
        <f aca="false">E34*F34</f>
        <v>34.92282584392</v>
      </c>
      <c r="H34" s="35" t="n">
        <f aca="false">G34/4</f>
        <v>8.73070646098</v>
      </c>
      <c r="I34" s="24" t="n">
        <f aca="false">$H34*Assumptions!$B$47</f>
        <v>4.36535323049</v>
      </c>
      <c r="J34" s="24" t="n">
        <f aca="false">$H34*Assumptions!$B$48</f>
        <v>6.548029845735</v>
      </c>
      <c r="K34" s="24" t="n">
        <f aca="false">$H34*Assumptions!$B$49</f>
        <v>8.73070646098</v>
      </c>
      <c r="L34" s="24" t="n">
        <f aca="false">$H34*Assumptions!$B$50</f>
        <v>8.73070646098</v>
      </c>
      <c r="M34" s="24" t="n">
        <f aca="false">SUM(I34:L34)</f>
        <v>28.374795998185</v>
      </c>
    </row>
    <row r="35" customFormat="false" ht="15" hidden="false" customHeight="false" outlineLevel="0" collapsed="false">
      <c r="A35" s="25"/>
      <c r="B35" s="26" t="s">
        <v>294</v>
      </c>
      <c r="C35" s="25"/>
      <c r="D35" s="25"/>
      <c r="E35" s="13" t="n">
        <f aca="false">SUM(E6:E34)</f>
        <v>792402.487626981</v>
      </c>
      <c r="F35" s="25"/>
      <c r="G35" s="13" t="n">
        <f aca="false">SUM(G6:G34)</f>
        <v>9528.60749128697</v>
      </c>
      <c r="H35" s="13" t="n">
        <f aca="false">SUM(H6:H34)</f>
        <v>2382.15187282174</v>
      </c>
      <c r="I35" s="13" t="n">
        <f aca="false">SUM(I6:I34)</f>
        <v>1191.07593641087</v>
      </c>
      <c r="J35" s="13" t="n">
        <f aca="false">SUM(J6:J34)</f>
        <v>1786.61390461631</v>
      </c>
      <c r="K35" s="13" t="n">
        <f aca="false">SUM(K6:K34)</f>
        <v>2382.15187282174</v>
      </c>
      <c r="L35" s="13" t="n">
        <f aca="false">SUM(L6:L34)</f>
        <v>2382.15187282174</v>
      </c>
      <c r="M35" s="13" t="n">
        <f aca="false">SUM(M6:M34)</f>
        <v>7741.99358667066</v>
      </c>
      <c r="N35" s="25"/>
    </row>
  </sheetData>
  <mergeCells count="1">
    <mergeCell ref="A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2"/>
    <col collapsed="false" customWidth="true" hidden="false" outlineLevel="0" max="3" min="3" style="0" width="7"/>
    <col collapsed="false" customWidth="true" hidden="false" outlineLevel="0" max="4" min="4" style="0" width="11"/>
    <col collapsed="false" customWidth="true" hidden="false" outlineLevel="0" max="5" min="5" style="0" width="16"/>
    <col collapsed="false" customWidth="true" hidden="false" outlineLevel="0" max="6" min="6" style="0" width="17"/>
    <col collapsed="false" customWidth="true" hidden="false" outlineLevel="0" max="7" min="7" style="0" width="15"/>
    <col collapsed="false" customWidth="true" hidden="false" outlineLevel="0" max="8" min="8" style="0" width="10"/>
    <col collapsed="false" customWidth="true" hidden="false" outlineLevel="0" max="9" min="9" style="0" width="19"/>
    <col collapsed="false" customWidth="true" hidden="false" outlineLevel="0" max="10" min="10" style="0" width="17"/>
    <col collapsed="false" customWidth="true" hidden="false" outlineLevel="0" max="11" min="11" style="0" width="20"/>
    <col collapsed="false" customWidth="true" hidden="false" outlineLevel="0" max="12" min="12" style="0" width="11"/>
    <col collapsed="false" customWidth="true" hidden="false" outlineLevel="0" max="13" min="13" style="0" width="19"/>
    <col collapsed="false" customWidth="true" hidden="false" outlineLevel="0" max="14" min="14" style="0" width="12"/>
  </cols>
  <sheetData>
    <row r="1" customFormat="false" ht="17.35" hidden="false" customHeight="false" outlineLevel="0" collapsed="false">
      <c r="A1" s="1" t="s">
        <v>312</v>
      </c>
    </row>
    <row r="2" customFormat="false" ht="31.5" hidden="false" customHeight="true" outlineLevel="0" collapsed="false">
      <c r="A2" s="5" t="s">
        <v>313</v>
      </c>
      <c r="B2" s="5"/>
      <c r="C2" s="5"/>
      <c r="D2" s="5"/>
      <c r="E2" s="5"/>
      <c r="F2" s="5"/>
      <c r="G2" s="5"/>
      <c r="H2" s="5"/>
      <c r="I2" s="5"/>
      <c r="J2" s="5"/>
      <c r="K2" s="5"/>
      <c r="L2" s="5"/>
      <c r="M2" s="5"/>
      <c r="N2" s="5"/>
    </row>
    <row r="4" customFormat="false" ht="30" hidden="false" customHeight="true" outlineLevel="0" collapsed="false">
      <c r="A4" s="16" t="s">
        <v>134</v>
      </c>
      <c r="B4" s="16" t="s">
        <v>246</v>
      </c>
      <c r="C4" s="16" t="s">
        <v>248</v>
      </c>
      <c r="D4" s="16" t="s">
        <v>220</v>
      </c>
      <c r="E4" s="16" t="s">
        <v>283</v>
      </c>
      <c r="F4" s="16" t="s">
        <v>314</v>
      </c>
      <c r="G4" s="16" t="s">
        <v>315</v>
      </c>
      <c r="H4" s="16" t="s">
        <v>299</v>
      </c>
      <c r="I4" s="16" t="s">
        <v>316</v>
      </c>
      <c r="J4" s="16" t="s">
        <v>317</v>
      </c>
      <c r="K4" s="16" t="s">
        <v>318</v>
      </c>
      <c r="L4" s="16" t="s">
        <v>319</v>
      </c>
      <c r="M4" s="16" t="s">
        <v>320</v>
      </c>
      <c r="N4" s="16" t="s">
        <v>321</v>
      </c>
    </row>
    <row r="5" customFormat="false" ht="61.5" hidden="false" customHeight="true" outlineLevel="0" collapsed="false">
      <c r="A5" s="17"/>
      <c r="B5" s="17"/>
      <c r="C5" s="17"/>
      <c r="D5" s="17"/>
      <c r="E5" s="17" t="s">
        <v>322</v>
      </c>
      <c r="F5" s="17" t="s">
        <v>323</v>
      </c>
      <c r="G5" s="17" t="s">
        <v>324</v>
      </c>
      <c r="H5" s="17" t="s">
        <v>325</v>
      </c>
      <c r="I5" s="17" t="s">
        <v>326</v>
      </c>
      <c r="J5" s="17" t="s">
        <v>327</v>
      </c>
      <c r="K5" s="17" t="s">
        <v>328</v>
      </c>
      <c r="L5" s="17" t="s">
        <v>329</v>
      </c>
      <c r="M5" s="17" t="s">
        <v>330</v>
      </c>
      <c r="N5" s="17" t="s">
        <v>331</v>
      </c>
    </row>
    <row r="6" customFormat="false" ht="15" hidden="false" customHeight="false" outlineLevel="0" collapsed="false">
      <c r="A6" s="29" t="str">
        <f aca="false">Quotas!A6</f>
        <v>Karachi</v>
      </c>
      <c r="B6" s="29" t="str">
        <f aca="false">Quotas!B6</f>
        <v>Karachi East</v>
      </c>
      <c r="C6" s="29" t="str">
        <f aca="false">Quotas!C6</f>
        <v>B</v>
      </c>
      <c r="D6" s="29" t="str">
        <f aca="false">Quotas!D6</f>
        <v>KHI-2</v>
      </c>
      <c r="E6" s="30" t="n">
        <f aca="false">FeeSchedule!L6</f>
        <v>5724944.41922657</v>
      </c>
      <c r="F6" s="24" t="n">
        <f aca="false">E6*(1-Assumptions!$B$14)</f>
        <v>2862472.20961328</v>
      </c>
      <c r="G6" s="24" t="n">
        <f aca="false">F6/Assumptions!$B$8</f>
        <v>715618.052403321</v>
      </c>
      <c r="H6" s="30" t="n">
        <f aca="false">Quotas!G6</f>
        <v>584.778836001275</v>
      </c>
      <c r="I6" s="35" t="n">
        <f aca="false">H6*Assumptions!$B$12</f>
        <v>73097354.5001593</v>
      </c>
      <c r="J6" s="24" t="n">
        <f aca="false">I6*Assumptions!$B$13</f>
        <v>16081417.9900351</v>
      </c>
      <c r="K6" s="35" t="n">
        <f aca="false">J6-G6</f>
        <v>15365799.9376317</v>
      </c>
      <c r="L6" s="23" t="n">
        <f aca="false">IFERROR(F6/J6*12,0)</f>
        <v>2.13598493221458</v>
      </c>
      <c r="M6" s="24" t="n">
        <f aca="false">J6*Assumptions!$B$8-F6</f>
        <v>61463199.7505269</v>
      </c>
      <c r="N6" s="34" t="n">
        <f aca="false">IFERROR(M6/F6,0)</f>
        <v>21.4720686349757</v>
      </c>
    </row>
    <row r="7" customFormat="false" ht="15" hidden="false" customHeight="false" outlineLevel="0" collapsed="false">
      <c r="A7" s="29" t="str">
        <f aca="false">Quotas!A7</f>
        <v>Karachi</v>
      </c>
      <c r="B7" s="29" t="str">
        <f aca="false">Quotas!B7</f>
        <v>Karachi Central</v>
      </c>
      <c r="C7" s="29" t="str">
        <f aca="false">Quotas!C7</f>
        <v>C</v>
      </c>
      <c r="D7" s="29" t="str">
        <f aca="false">Quotas!D7</f>
        <v>KHI-3</v>
      </c>
      <c r="E7" s="30" t="n">
        <f aca="false">FeeSchedule!L7</f>
        <v>4484353.46391583</v>
      </c>
      <c r="F7" s="24" t="n">
        <f aca="false">E7*(1-Assumptions!$B$14)</f>
        <v>2242176.73195792</v>
      </c>
      <c r="G7" s="24" t="n">
        <f aca="false">F7/Assumptions!$B$8</f>
        <v>560544.182989479</v>
      </c>
      <c r="H7" s="30" t="n">
        <f aca="false">Quotas!G7</f>
        <v>147.188049828703</v>
      </c>
      <c r="I7" s="35" t="n">
        <f aca="false">H7*Assumptions!$B$12</f>
        <v>18398506.2285879</v>
      </c>
      <c r="J7" s="24" t="n">
        <f aca="false">I7*Assumptions!$B$13</f>
        <v>4047671.37028934</v>
      </c>
      <c r="K7" s="35" t="n">
        <f aca="false">J7-G7</f>
        <v>3487127.18729986</v>
      </c>
      <c r="L7" s="23" t="n">
        <f aca="false">IFERROR(F7/J7*12,0)</f>
        <v>6.64730861823193</v>
      </c>
      <c r="M7" s="24" t="n">
        <f aca="false">J7*Assumptions!$B$8-F7</f>
        <v>13948508.7491995</v>
      </c>
      <c r="N7" s="34" t="n">
        <f aca="false">IFERROR(M7/F7,0)</f>
        <v>6.22096757601232</v>
      </c>
    </row>
    <row r="8" customFormat="false" ht="15" hidden="false" customHeight="false" outlineLevel="0" collapsed="false">
      <c r="A8" s="29" t="str">
        <f aca="false">Quotas!A8</f>
        <v>Karachi</v>
      </c>
      <c r="B8" s="29" t="str">
        <f aca="false">Quotas!B8</f>
        <v>Korangi</v>
      </c>
      <c r="C8" s="29" t="str">
        <f aca="false">Quotas!C8</f>
        <v>C</v>
      </c>
      <c r="D8" s="29" t="str">
        <f aca="false">Quotas!D8</f>
        <v>KHI-2</v>
      </c>
      <c r="E8" s="30" t="n">
        <f aca="false">FeeSchedule!L8</f>
        <v>4314107.17319446</v>
      </c>
      <c r="F8" s="24" t="n">
        <f aca="false">E8*(1-Assumptions!$B$14)</f>
        <v>2157053.58659723</v>
      </c>
      <c r="G8" s="24" t="n">
        <f aca="false">F8/Assumptions!$B$8</f>
        <v>539263.396649308</v>
      </c>
      <c r="H8" s="30" t="n">
        <f aca="false">Quotas!G8</f>
        <v>144.159988742977</v>
      </c>
      <c r="I8" s="35" t="n">
        <f aca="false">H8*Assumptions!$B$12</f>
        <v>18019998.5928721</v>
      </c>
      <c r="J8" s="24" t="n">
        <f aca="false">I8*Assumptions!$B$13</f>
        <v>3964399.69043187</v>
      </c>
      <c r="K8" s="35" t="n">
        <f aca="false">J8-G8</f>
        <v>3425136.29378256</v>
      </c>
      <c r="L8" s="23" t="n">
        <f aca="false">IFERROR(F8/J8*12,0)</f>
        <v>6.52927178398275</v>
      </c>
      <c r="M8" s="24" t="n">
        <f aca="false">J8*Assumptions!$B$8-F8</f>
        <v>13700545.1751303</v>
      </c>
      <c r="N8" s="34" t="n">
        <f aca="false">IFERROR(M8/F8,0)</f>
        <v>6.35150895659619</v>
      </c>
    </row>
    <row r="9" customFormat="false" ht="15" hidden="false" customHeight="false" outlineLevel="0" collapsed="false">
      <c r="A9" s="29" t="str">
        <f aca="false">Quotas!A9</f>
        <v>Karachi</v>
      </c>
      <c r="B9" s="29" t="str">
        <f aca="false">Quotas!B9</f>
        <v>Karachi West</v>
      </c>
      <c r="C9" s="29" t="str">
        <f aca="false">Quotas!C9</f>
        <v>C</v>
      </c>
      <c r="D9" s="29" t="str">
        <f aca="false">Quotas!D9</f>
        <v>KHI-3</v>
      </c>
      <c r="E9" s="30" t="n">
        <f aca="false">FeeSchedule!L9</f>
        <v>5031628.22241083</v>
      </c>
      <c r="F9" s="24" t="n">
        <f aca="false">E9*(1-Assumptions!$B$14)</f>
        <v>2515814.11120541</v>
      </c>
      <c r="G9" s="24" t="n">
        <f aca="false">F9/Assumptions!$B$8</f>
        <v>628953.527801354</v>
      </c>
      <c r="H9" s="30" t="n">
        <f aca="false">Quotas!G9</f>
        <v>160.678717641346</v>
      </c>
      <c r="I9" s="35" t="n">
        <f aca="false">H9*Assumptions!$B$12</f>
        <v>20084839.7051683</v>
      </c>
      <c r="J9" s="24" t="n">
        <f aca="false">I9*Assumptions!$B$13</f>
        <v>4418664.73513703</v>
      </c>
      <c r="K9" s="35" t="n">
        <f aca="false">J9-G9</f>
        <v>3789711.20733568</v>
      </c>
      <c r="L9" s="23" t="n">
        <f aca="false">IFERROR(F9/J9*12,0)</f>
        <v>6.83232857528141</v>
      </c>
      <c r="M9" s="24" t="n">
        <f aca="false">J9*Assumptions!$B$8-F9</f>
        <v>15158844.8293427</v>
      </c>
      <c r="N9" s="34" t="n">
        <f aca="false">IFERROR(M9/F9,0)</f>
        <v>6.02542324642562</v>
      </c>
    </row>
    <row r="10" customFormat="false" ht="15" hidden="false" customHeight="false" outlineLevel="0" collapsed="false">
      <c r="A10" s="29" t="str">
        <f aca="false">Quotas!A10</f>
        <v>Karachi</v>
      </c>
      <c r="B10" s="29" t="str">
        <f aca="false">Quotas!B10</f>
        <v>Malir</v>
      </c>
      <c r="C10" s="29" t="str">
        <f aca="false">Quotas!C10</f>
        <v>B</v>
      </c>
      <c r="D10" s="29" t="str">
        <f aca="false">Quotas!D10</f>
        <v>KHI-4</v>
      </c>
      <c r="E10" s="30" t="n">
        <f aca="false">FeeSchedule!L10</f>
        <v>8271563.77319632</v>
      </c>
      <c r="F10" s="24" t="n">
        <f aca="false">E10*(1-Assumptions!$B$14)</f>
        <v>4135781.88659816</v>
      </c>
      <c r="G10" s="24" t="n">
        <f aca="false">F10/Assumptions!$B$8</f>
        <v>1033945.47164954</v>
      </c>
      <c r="H10" s="30" t="n">
        <f aca="false">Quotas!G10</f>
        <v>760.204368389447</v>
      </c>
      <c r="I10" s="35" t="n">
        <f aca="false">H10*Assumptions!$B$12</f>
        <v>95025546.0486809</v>
      </c>
      <c r="J10" s="24" t="n">
        <f aca="false">I10*Assumptions!$B$13</f>
        <v>20905620.1307098</v>
      </c>
      <c r="K10" s="35" t="n">
        <f aca="false">J10-G10</f>
        <v>19871674.6590603</v>
      </c>
      <c r="L10" s="23" t="n">
        <f aca="false">IFERROR(F10/J10*12,0)</f>
        <v>2.37397323441622</v>
      </c>
      <c r="M10" s="24" t="n">
        <f aca="false">J10*Assumptions!$B$8-F10</f>
        <v>79486698.6362411</v>
      </c>
      <c r="N10" s="34" t="n">
        <f aca="false">IFERROR(M10/F10,0)</f>
        <v>19.2192675570766</v>
      </c>
    </row>
    <row r="11" customFormat="false" ht="15" hidden="false" customHeight="false" outlineLevel="0" collapsed="false">
      <c r="A11" s="29" t="str">
        <f aca="false">Quotas!A11</f>
        <v>Karachi</v>
      </c>
      <c r="B11" s="29" t="str">
        <f aca="false">Quotas!B11</f>
        <v>Karachi South</v>
      </c>
      <c r="C11" s="29" t="str">
        <f aca="false">Quotas!C11</f>
        <v>A</v>
      </c>
      <c r="D11" s="29" t="str">
        <f aca="false">Quotas!D11</f>
        <v>KHI-1</v>
      </c>
      <c r="E11" s="30" t="n">
        <f aca="false">FeeSchedule!L11</f>
        <v>10163535.5662415</v>
      </c>
      <c r="F11" s="24" t="n">
        <f aca="false">E11*(1-Assumptions!$B$14)</f>
        <v>5081767.78312077</v>
      </c>
      <c r="G11" s="24" t="n">
        <f aca="false">F11/Assumptions!$B$8</f>
        <v>1270441.94578019</v>
      </c>
      <c r="H11" s="30" t="n">
        <f aca="false">Quotas!G11</f>
        <v>1487.55517248327</v>
      </c>
      <c r="I11" s="35" t="n">
        <f aca="false">H11*Assumptions!$B$12</f>
        <v>185944396.560408</v>
      </c>
      <c r="J11" s="24" t="n">
        <f aca="false">I11*Assumptions!$B$13</f>
        <v>40907767.2432898</v>
      </c>
      <c r="K11" s="35" t="n">
        <f aca="false">J11-G11</f>
        <v>39637325.2975096</v>
      </c>
      <c r="L11" s="23" t="n">
        <f aca="false">IFERROR(F11/J11*12,0)</f>
        <v>1.49070011655188</v>
      </c>
      <c r="M11" s="24" t="n">
        <f aca="false">J11*Assumptions!$B$8-F11</f>
        <v>158549301.190038</v>
      </c>
      <c r="N11" s="34" t="n">
        <f aca="false">IFERROR(M11/F11,0)</f>
        <v>31.1996352365144</v>
      </c>
    </row>
    <row r="12" customFormat="false" ht="15" hidden="false" customHeight="false" outlineLevel="0" collapsed="false">
      <c r="A12" s="29" t="str">
        <f aca="false">Quotas!A12</f>
        <v>Karachi</v>
      </c>
      <c r="B12" s="29" t="str">
        <f aca="false">Quotas!B12</f>
        <v>Keamari</v>
      </c>
      <c r="C12" s="29" t="str">
        <f aca="false">Quotas!C12</f>
        <v>C</v>
      </c>
      <c r="D12" s="29" t="str">
        <f aca="false">Quotas!D12</f>
        <v>KHI-3</v>
      </c>
      <c r="E12" s="30" t="n">
        <f aca="false">FeeSchedule!L12</f>
        <v>2844778.02620342</v>
      </c>
      <c r="F12" s="24" t="n">
        <f aca="false">E12*(1-Assumptions!$B$14)</f>
        <v>1422389.01310171</v>
      </c>
      <c r="G12" s="24" t="n">
        <f aca="false">F12/Assumptions!$B$8</f>
        <v>355597.253275427</v>
      </c>
      <c r="H12" s="30" t="n">
        <f aca="false">Quotas!G12</f>
        <v>101.034539620198</v>
      </c>
      <c r="I12" s="35" t="n">
        <f aca="false">H12*Assumptions!$B$12</f>
        <v>12629317.4525248</v>
      </c>
      <c r="J12" s="24" t="n">
        <f aca="false">I12*Assumptions!$B$13</f>
        <v>2778449.83955545</v>
      </c>
      <c r="K12" s="35" t="n">
        <f aca="false">J12-G12</f>
        <v>2422852.58628002</v>
      </c>
      <c r="L12" s="23" t="n">
        <f aca="false">IFERROR(F12/J12*12,0)</f>
        <v>6.14323422874948</v>
      </c>
      <c r="M12" s="24" t="n">
        <f aca="false">J12*Assumptions!$B$8-F12</f>
        <v>9691410.34512007</v>
      </c>
      <c r="N12" s="34" t="n">
        <f aca="false">IFERROR(M12/F12,0)</f>
        <v>6.81347384987645</v>
      </c>
    </row>
    <row r="13" customFormat="false" ht="15" hidden="false" customHeight="false" outlineLevel="0" collapsed="false">
      <c r="A13" s="29" t="str">
        <f aca="false">Quotas!A13</f>
        <v>Lahore</v>
      </c>
      <c r="B13" s="29" t="str">
        <f aca="false">Quotas!B13</f>
        <v>Lahore City</v>
      </c>
      <c r="C13" s="29" t="str">
        <f aca="false">Quotas!C13</f>
        <v>C</v>
      </c>
      <c r="D13" s="29" t="str">
        <f aca="false">Quotas!D13</f>
        <v>LHE-2</v>
      </c>
      <c r="E13" s="30" t="n">
        <f aca="false">FeeSchedule!L13</f>
        <v>5541142.18354323</v>
      </c>
      <c r="F13" s="24" t="n">
        <f aca="false">E13*(1-Assumptions!$B$14)</f>
        <v>2770571.09177161</v>
      </c>
      <c r="G13" s="24" t="n">
        <f aca="false">F13/Assumptions!$B$8</f>
        <v>692642.772942903</v>
      </c>
      <c r="H13" s="30" t="n">
        <f aca="false">Quotas!G13</f>
        <v>212.220743837213</v>
      </c>
      <c r="I13" s="35" t="n">
        <f aca="false">H13*Assumptions!$B$12</f>
        <v>26527592.9796516</v>
      </c>
      <c r="J13" s="24" t="n">
        <f aca="false">I13*Assumptions!$B$13</f>
        <v>5836070.45552334</v>
      </c>
      <c r="K13" s="35" t="n">
        <f aca="false">J13-G13</f>
        <v>5143427.68258044</v>
      </c>
      <c r="L13" s="23" t="n">
        <f aca="false">IFERROR(F13/J13*12,0)</f>
        <v>5.69678747962922</v>
      </c>
      <c r="M13" s="24" t="n">
        <f aca="false">J13*Assumptions!$B$8-F13</f>
        <v>20573710.7303218</v>
      </c>
      <c r="N13" s="34" t="n">
        <f aca="false">IFERROR(M13/F13,0)</f>
        <v>7.42580141380386</v>
      </c>
    </row>
    <row r="14" customFormat="false" ht="15" hidden="false" customHeight="false" outlineLevel="0" collapsed="false">
      <c r="A14" s="29" t="str">
        <f aca="false">Quotas!A14</f>
        <v>Lahore</v>
      </c>
      <c r="B14" s="29" t="str">
        <f aca="false">Quotas!B14</f>
        <v>Model Town</v>
      </c>
      <c r="C14" s="29" t="str">
        <f aca="false">Quotas!C14</f>
        <v>B</v>
      </c>
      <c r="D14" s="29" t="str">
        <f aca="false">Quotas!D14</f>
        <v>LHE-3</v>
      </c>
      <c r="E14" s="30" t="n">
        <f aca="false">FeeSchedule!L14</f>
        <v>7786527.94851601</v>
      </c>
      <c r="F14" s="24" t="n">
        <f aca="false">E14*(1-Assumptions!$B$14)</f>
        <v>3893263.97425801</v>
      </c>
      <c r="G14" s="24" t="n">
        <f aca="false">F14/Assumptions!$B$8</f>
        <v>973315.993564502</v>
      </c>
      <c r="H14" s="30" t="n">
        <f aca="false">Quotas!G14</f>
        <v>827.576374792432</v>
      </c>
      <c r="I14" s="35" t="n">
        <f aca="false">H14*Assumptions!$B$12</f>
        <v>103447046.849054</v>
      </c>
      <c r="J14" s="24" t="n">
        <f aca="false">I14*Assumptions!$B$13</f>
        <v>22758350.3067919</v>
      </c>
      <c r="K14" s="35" t="n">
        <f aca="false">J14-G14</f>
        <v>21785034.3132274</v>
      </c>
      <c r="L14" s="23" t="n">
        <f aca="false">IFERROR(F14/J14*12,0)</f>
        <v>2.0528363023375</v>
      </c>
      <c r="M14" s="24" t="n">
        <f aca="false">J14*Assumptions!$B$8-F14</f>
        <v>87140137.2529095</v>
      </c>
      <c r="N14" s="34" t="n">
        <f aca="false">IFERROR(M14/F14,0)</f>
        <v>22.3822833049786</v>
      </c>
    </row>
    <row r="15" customFormat="false" ht="15" hidden="false" customHeight="false" outlineLevel="0" collapsed="false">
      <c r="A15" s="29" t="str">
        <f aca="false">Quotas!A15</f>
        <v>Lahore</v>
      </c>
      <c r="B15" s="29" t="str">
        <f aca="false">Quotas!B15</f>
        <v>Shalimar</v>
      </c>
      <c r="C15" s="29" t="str">
        <f aca="false">Quotas!C15</f>
        <v>C</v>
      </c>
      <c r="D15" s="29" t="str">
        <f aca="false">Quotas!D15</f>
        <v>LHE-2</v>
      </c>
      <c r="E15" s="30" t="n">
        <f aca="false">FeeSchedule!L15</f>
        <v>4171751.15270829</v>
      </c>
      <c r="F15" s="24" t="n">
        <f aca="false">E15*(1-Assumptions!$B$14)</f>
        <v>2085875.57635414</v>
      </c>
      <c r="G15" s="24" t="n">
        <f aca="false">F15/Assumptions!$B$8</f>
        <v>521468.894088536</v>
      </c>
      <c r="H15" s="30" t="n">
        <f aca="false">Quotas!G15</f>
        <v>146.755080240381</v>
      </c>
      <c r="I15" s="35" t="n">
        <f aca="false">H15*Assumptions!$B$12</f>
        <v>18344385.0300476</v>
      </c>
      <c r="J15" s="24" t="n">
        <f aca="false">I15*Assumptions!$B$13</f>
        <v>4035764.70661047</v>
      </c>
      <c r="K15" s="35" t="n">
        <f aca="false">J15-G15</f>
        <v>3514295.81252193</v>
      </c>
      <c r="L15" s="23" t="n">
        <f aca="false">IFERROR(F15/J15*12,0)</f>
        <v>6.20217201346016</v>
      </c>
      <c r="M15" s="24" t="n">
        <f aca="false">J15*Assumptions!$B$8-F15</f>
        <v>14057183.2500877</v>
      </c>
      <c r="N15" s="34" t="n">
        <f aca="false">IFERROR(M15/F15,0)</f>
        <v>6.73922424206049</v>
      </c>
    </row>
    <row r="16" customFormat="false" ht="15" hidden="false" customHeight="false" outlineLevel="0" collapsed="false">
      <c r="A16" s="29" t="str">
        <f aca="false">Quotas!A16</f>
        <v>Lahore</v>
      </c>
      <c r="B16" s="29" t="str">
        <f aca="false">Quotas!B16</f>
        <v>Lahore Cantt</v>
      </c>
      <c r="C16" s="29" t="str">
        <f aca="false">Quotas!C16</f>
        <v>A</v>
      </c>
      <c r="D16" s="29" t="str">
        <f aca="false">Quotas!D16</f>
        <v>LHE-1</v>
      </c>
      <c r="E16" s="30" t="n">
        <f aca="false">FeeSchedule!L16</f>
        <v>9497154.15011891</v>
      </c>
      <c r="F16" s="24" t="n">
        <f aca="false">E16*(1-Assumptions!$B$14)</f>
        <v>4748577.07505946</v>
      </c>
      <c r="G16" s="24" t="n">
        <f aca="false">F16/Assumptions!$B$8</f>
        <v>1187144.26876486</v>
      </c>
      <c r="H16" s="30" t="n">
        <f aca="false">Quotas!G16</f>
        <v>1538.79877664166</v>
      </c>
      <c r="I16" s="35" t="n">
        <f aca="false">H16*Assumptions!$B$12</f>
        <v>192349847.080207</v>
      </c>
      <c r="J16" s="24" t="n">
        <f aca="false">I16*Assumptions!$B$13</f>
        <v>42316966.3576455</v>
      </c>
      <c r="K16" s="35" t="n">
        <f aca="false">J16-G16</f>
        <v>41129822.0888807</v>
      </c>
      <c r="L16" s="23" t="n">
        <f aca="false">IFERROR(F16/J16*12,0)</f>
        <v>1.34657395851861</v>
      </c>
      <c r="M16" s="24" t="n">
        <f aca="false">J16*Assumptions!$B$8-F16</f>
        <v>164519288.355523</v>
      </c>
      <c r="N16" s="34" t="n">
        <f aca="false">IFERROR(M16/F16,0)</f>
        <v>34.6460183240182</v>
      </c>
    </row>
    <row r="17" customFormat="false" ht="15" hidden="false" customHeight="false" outlineLevel="0" collapsed="false">
      <c r="A17" s="29" t="str">
        <f aca="false">Quotas!A17</f>
        <v>Lahore</v>
      </c>
      <c r="B17" s="29" t="str">
        <f aca="false">Quotas!B17</f>
        <v>Raiwind</v>
      </c>
      <c r="C17" s="29" t="str">
        <f aca="false">Quotas!C17</f>
        <v>B</v>
      </c>
      <c r="D17" s="29" t="str">
        <f aca="false">Quotas!D17</f>
        <v>LHE-1</v>
      </c>
      <c r="E17" s="30" t="n">
        <f aca="false">FeeSchedule!L17</f>
        <v>3151212.7455114</v>
      </c>
      <c r="F17" s="24" t="n">
        <f aca="false">E17*(1-Assumptions!$B$14)</f>
        <v>1575606.3727557</v>
      </c>
      <c r="G17" s="24" t="n">
        <f aca="false">F17/Assumptions!$B$8</f>
        <v>393901.593188925</v>
      </c>
      <c r="H17" s="30" t="n">
        <f aca="false">Quotas!G17</f>
        <v>308.293528552807</v>
      </c>
      <c r="I17" s="35" t="n">
        <f aca="false">H17*Assumptions!$B$12</f>
        <v>38536691.0691009</v>
      </c>
      <c r="J17" s="24" t="n">
        <f aca="false">I17*Assumptions!$B$13</f>
        <v>8478072.03520219</v>
      </c>
      <c r="K17" s="35" t="n">
        <f aca="false">J17-G17</f>
        <v>8084170.44201327</v>
      </c>
      <c r="L17" s="23" t="n">
        <f aca="false">IFERROR(F17/J17*12,0)</f>
        <v>2.2301386912688</v>
      </c>
      <c r="M17" s="24" t="n">
        <f aca="false">J17*Assumptions!$B$8-F17</f>
        <v>32336681.7680531</v>
      </c>
      <c r="N17" s="34" t="n">
        <f aca="false">IFERROR(M17/F17,0)</f>
        <v>20.5233250684922</v>
      </c>
    </row>
    <row r="18" customFormat="false" ht="15" hidden="false" customHeight="false" outlineLevel="0" collapsed="false">
      <c r="A18" s="29" t="str">
        <f aca="false">Quotas!A18</f>
        <v>Multan</v>
      </c>
      <c r="B18" s="29" t="str">
        <f aca="false">Quotas!B18</f>
        <v>Multan City</v>
      </c>
      <c r="C18" s="29" t="str">
        <f aca="false">Quotas!C18</f>
        <v>B</v>
      </c>
      <c r="D18" s="29" t="str">
        <f aca="false">Quotas!D18</f>
        <v>MUX-1</v>
      </c>
      <c r="E18" s="30" t="n">
        <f aca="false">FeeSchedule!L18</f>
        <v>5932422.56397978</v>
      </c>
      <c r="F18" s="24" t="n">
        <f aca="false">E18*(1-Assumptions!$B$14)</f>
        <v>2966211.28198989</v>
      </c>
      <c r="G18" s="24" t="n">
        <f aca="false">F18/Assumptions!$B$8</f>
        <v>741552.820497473</v>
      </c>
      <c r="H18" s="30" t="n">
        <f aca="false">Quotas!G18</f>
        <v>706.317853709255</v>
      </c>
      <c r="I18" s="35" t="n">
        <f aca="false">H18*Assumptions!$B$12</f>
        <v>88289731.7136569</v>
      </c>
      <c r="J18" s="24" t="n">
        <f aca="false">I18*Assumptions!$B$13</f>
        <v>19423740.9770045</v>
      </c>
      <c r="K18" s="35" t="n">
        <f aca="false">J18-G18</f>
        <v>18682188.156507</v>
      </c>
      <c r="L18" s="23" t="n">
        <f aca="false">IFERROR(F18/J18*12,0)</f>
        <v>1.83252728843628</v>
      </c>
      <c r="M18" s="24" t="n">
        <f aca="false">J18*Assumptions!$B$8-F18</f>
        <v>74728752.6260282</v>
      </c>
      <c r="N18" s="34" t="n">
        <f aca="false">IFERROR(M18/F18,0)</f>
        <v>25.1933343655467</v>
      </c>
    </row>
    <row r="19" customFormat="false" ht="15" hidden="false" customHeight="false" outlineLevel="0" collapsed="false">
      <c r="A19" s="29" t="str">
        <f aca="false">Quotas!A19</f>
        <v>Multan</v>
      </c>
      <c r="B19" s="29" t="str">
        <f aca="false">Quotas!B19</f>
        <v>Multan Saddar</v>
      </c>
      <c r="C19" s="29" t="str">
        <f aca="false">Quotas!C19</f>
        <v>C</v>
      </c>
      <c r="D19" s="29" t="str">
        <f aca="false">Quotas!D19</f>
        <v>MUX-1</v>
      </c>
      <c r="E19" s="30" t="n">
        <f aca="false">FeeSchedule!L19</f>
        <v>3361781.88060171</v>
      </c>
      <c r="F19" s="24" t="n">
        <f aca="false">E19*(1-Assumptions!$B$14)</f>
        <v>1680890.94030085</v>
      </c>
      <c r="G19" s="24" t="n">
        <f aca="false">F19/Assumptions!$B$8</f>
        <v>420222.735075214</v>
      </c>
      <c r="H19" s="30" t="n">
        <f aca="false">Quotas!G19</f>
        <v>99.6857463536293</v>
      </c>
      <c r="I19" s="35" t="n">
        <f aca="false">H19*Assumptions!$B$12</f>
        <v>12460718.2942037</v>
      </c>
      <c r="J19" s="24" t="n">
        <f aca="false">I19*Assumptions!$B$13</f>
        <v>2741358.02472481</v>
      </c>
      <c r="K19" s="35" t="n">
        <f aca="false">J19-G19</f>
        <v>2321135.28964959</v>
      </c>
      <c r="L19" s="23" t="n">
        <f aca="false">IFERROR(F19/J19*12,0)</f>
        <v>7.35791936029046</v>
      </c>
      <c r="M19" s="24" t="n">
        <f aca="false">J19*Assumptions!$B$8-F19</f>
        <v>9284541.15859837</v>
      </c>
      <c r="N19" s="34" t="n">
        <f aca="false">IFERROR(M19/F19,0)</f>
        <v>5.52358331881816</v>
      </c>
    </row>
    <row r="20" customFormat="false" ht="15" hidden="false" customHeight="false" outlineLevel="0" collapsed="false">
      <c r="A20" s="29" t="str">
        <f aca="false">Quotas!A20</f>
        <v>Multan</v>
      </c>
      <c r="B20" s="29" t="str">
        <f aca="false">Quotas!B20</f>
        <v>Shujabad</v>
      </c>
      <c r="C20" s="29" t="str">
        <f aca="false">Quotas!C20</f>
        <v>C</v>
      </c>
      <c r="D20" s="29" t="str">
        <f aca="false">Quotas!D20</f>
        <v>MUX-1</v>
      </c>
      <c r="E20" s="30" t="n">
        <f aca="false">FeeSchedule!L20</f>
        <v>1513127.44833016</v>
      </c>
      <c r="F20" s="24" t="n">
        <f aca="false">E20*(1-Assumptions!$B$14)</f>
        <v>756563.724165082</v>
      </c>
      <c r="G20" s="24" t="n">
        <f aca="false">F20/Assumptions!$B$8</f>
        <v>189140.93104127</v>
      </c>
      <c r="H20" s="30" t="n">
        <f aca="false">Quotas!G20</f>
        <v>45.5724118760614</v>
      </c>
      <c r="I20" s="35" t="n">
        <f aca="false">H20*Assumptions!$B$12</f>
        <v>5696551.48450768</v>
      </c>
      <c r="J20" s="24" t="n">
        <f aca="false">I20*Assumptions!$B$13</f>
        <v>1253241.32659169</v>
      </c>
      <c r="K20" s="35" t="n">
        <f aca="false">J20-G20</f>
        <v>1064100.39555042</v>
      </c>
      <c r="L20" s="23" t="n">
        <f aca="false">IFERROR(F20/J20*12,0)</f>
        <v>7.24422702742461</v>
      </c>
      <c r="M20" s="24" t="n">
        <f aca="false">J20*Assumptions!$B$8-F20</f>
        <v>4256401.58220167</v>
      </c>
      <c r="N20" s="34" t="n">
        <f aca="false">IFERROR(M20/F20,0)</f>
        <v>5.6259657266794</v>
      </c>
    </row>
    <row r="21" customFormat="false" ht="15" hidden="false" customHeight="false" outlineLevel="0" collapsed="false">
      <c r="A21" s="29" t="str">
        <f aca="false">Quotas!A21</f>
        <v>Multan</v>
      </c>
      <c r="B21" s="29" t="str">
        <f aca="false">Quotas!B21</f>
        <v>Jalalpur Pirwala</v>
      </c>
      <c r="C21" s="29" t="str">
        <f aca="false">Quotas!C21</f>
        <v>C</v>
      </c>
      <c r="D21" s="29" t="str">
        <f aca="false">Quotas!D21</f>
        <v>MUX-1</v>
      </c>
      <c r="E21" s="30" t="n">
        <f aca="false">FeeSchedule!L21</f>
        <v>1437177.27318148</v>
      </c>
      <c r="F21" s="24" t="n">
        <f aca="false">E21*(1-Assumptions!$B$14)</f>
        <v>718588.63659074</v>
      </c>
      <c r="G21" s="24" t="n">
        <f aca="false">F21/Assumptions!$B$8</f>
        <v>179647.159147685</v>
      </c>
      <c r="H21" s="30" t="n">
        <f aca="false">Quotas!G21</f>
        <v>41.1963021980879</v>
      </c>
      <c r="I21" s="35" t="n">
        <f aca="false">H21*Assumptions!$B$12</f>
        <v>5149537.77476099</v>
      </c>
      <c r="J21" s="24" t="n">
        <f aca="false">I21*Assumptions!$B$13</f>
        <v>1132898.31044742</v>
      </c>
      <c r="K21" s="35" t="n">
        <f aca="false">J21-G21</f>
        <v>953251.151299733</v>
      </c>
      <c r="L21" s="23" t="n">
        <f aca="false">IFERROR(F21/J21*12,0)</f>
        <v>7.61150719315961</v>
      </c>
      <c r="M21" s="24" t="n">
        <f aca="false">J21*Assumptions!$B$8-F21</f>
        <v>3813004.60519893</v>
      </c>
      <c r="N21" s="34" t="n">
        <f aca="false">IFERROR(M21/F21,0)</f>
        <v>5.30624116641934</v>
      </c>
    </row>
    <row r="22" customFormat="false" ht="15" hidden="false" customHeight="false" outlineLevel="0" collapsed="false">
      <c r="A22" s="29" t="str">
        <f aca="false">Quotas!A22</f>
        <v>Peshawar</v>
      </c>
      <c r="B22" s="29" t="str">
        <f aca="false">Quotas!B22</f>
        <v>Peshawar City</v>
      </c>
      <c r="C22" s="29" t="str">
        <f aca="false">Quotas!C22</f>
        <v>B</v>
      </c>
      <c r="D22" s="29" t="str">
        <f aca="false">Quotas!D22</f>
        <v>PEW-1</v>
      </c>
      <c r="E22" s="30" t="n">
        <f aca="false">FeeSchedule!L22</f>
        <v>2501249.58113517</v>
      </c>
      <c r="F22" s="24" t="n">
        <f aca="false">E22*(1-Assumptions!$B$14)</f>
        <v>1250624.79056758</v>
      </c>
      <c r="G22" s="24" t="n">
        <f aca="false">F22/Assumptions!$B$8</f>
        <v>312656.197641896</v>
      </c>
      <c r="H22" s="30" t="n">
        <f aca="false">Quotas!G22</f>
        <v>421.761160402036</v>
      </c>
      <c r="I22" s="35" t="n">
        <f aca="false">H22*Assumptions!$B$12</f>
        <v>52720145.0502545</v>
      </c>
      <c r="J22" s="24" t="n">
        <f aca="false">I22*Assumptions!$B$13</f>
        <v>11598431.911056</v>
      </c>
      <c r="K22" s="35" t="n">
        <f aca="false">J22-G22</f>
        <v>11285775.7134141</v>
      </c>
      <c r="L22" s="23" t="n">
        <f aca="false">IFERROR(F22/J22*12,0)</f>
        <v>1.29392469619151</v>
      </c>
      <c r="M22" s="24" t="n">
        <f aca="false">J22*Assumptions!$B$8-F22</f>
        <v>45143102.8536563</v>
      </c>
      <c r="N22" s="34" t="n">
        <f aca="false">IFERROR(M22/F22,0)</f>
        <v>36.0964401106815</v>
      </c>
    </row>
    <row r="23" customFormat="false" ht="15" hidden="false" customHeight="false" outlineLevel="0" collapsed="false">
      <c r="A23" s="29" t="str">
        <f aca="false">Quotas!A23</f>
        <v>Peshawar</v>
      </c>
      <c r="B23" s="29" t="str">
        <f aca="false">Quotas!B23</f>
        <v>East Ring</v>
      </c>
      <c r="C23" s="29" t="str">
        <f aca="false">Quotas!C23</f>
        <v>C</v>
      </c>
      <c r="D23" s="29" t="str">
        <f aca="false">Quotas!D23</f>
        <v>PEW-1</v>
      </c>
      <c r="E23" s="30" t="n">
        <f aca="false">FeeSchedule!L23</f>
        <v>2522855.35129342</v>
      </c>
      <c r="F23" s="24" t="n">
        <f aca="false">E23*(1-Assumptions!$B$14)</f>
        <v>1261427.67564671</v>
      </c>
      <c r="G23" s="24" t="n">
        <f aca="false">F23/Assumptions!$B$8</f>
        <v>315356.918911677</v>
      </c>
      <c r="H23" s="30" t="n">
        <f aca="false">Quotas!G23</f>
        <v>77.7289710099071</v>
      </c>
      <c r="I23" s="35" t="n">
        <f aca="false">H23*Assumptions!$B$12</f>
        <v>9716121.37623839</v>
      </c>
      <c r="J23" s="24" t="n">
        <f aca="false">I23*Assumptions!$B$13</f>
        <v>2137546.70277245</v>
      </c>
      <c r="K23" s="35" t="n">
        <f aca="false">J23-G23</f>
        <v>1822189.78386077</v>
      </c>
      <c r="L23" s="23" t="n">
        <f aca="false">IFERROR(F23/J23*12,0)</f>
        <v>7.08154450526265</v>
      </c>
      <c r="M23" s="24" t="n">
        <f aca="false">J23*Assumptions!$B$8-F23</f>
        <v>7288759.13544308</v>
      </c>
      <c r="N23" s="34" t="n">
        <f aca="false">IFERROR(M23/F23,0)</f>
        <v>5.77818235334521</v>
      </c>
    </row>
    <row r="24" customFormat="false" ht="15" hidden="false" customHeight="false" outlineLevel="0" collapsed="false">
      <c r="A24" s="29" t="str">
        <f aca="false">Quotas!A24</f>
        <v>Peshawar</v>
      </c>
      <c r="B24" s="29" t="str">
        <f aca="false">Quotas!B24</f>
        <v>North-West Ring</v>
      </c>
      <c r="C24" s="29" t="str">
        <f aca="false">Quotas!C24</f>
        <v>C</v>
      </c>
      <c r="D24" s="29" t="str">
        <f aca="false">Quotas!D24</f>
        <v>PEW-1</v>
      </c>
      <c r="E24" s="30" t="n">
        <f aca="false">FeeSchedule!L24</f>
        <v>1863532.83237163</v>
      </c>
      <c r="F24" s="24" t="n">
        <f aca="false">E24*(1-Assumptions!$B$14)</f>
        <v>931766.416185816</v>
      </c>
      <c r="G24" s="24" t="n">
        <f aca="false">F24/Assumptions!$B$8</f>
        <v>232941.604046454</v>
      </c>
      <c r="H24" s="30" t="n">
        <f aca="false">Quotas!G24</f>
        <v>59.034079776307</v>
      </c>
      <c r="I24" s="35" t="n">
        <f aca="false">H24*Assumptions!$B$12</f>
        <v>7379259.97203838</v>
      </c>
      <c r="J24" s="24" t="n">
        <f aca="false">I24*Assumptions!$B$13</f>
        <v>1623437.19384844</v>
      </c>
      <c r="K24" s="35" t="n">
        <f aca="false">J24-G24</f>
        <v>1390495.58980199</v>
      </c>
      <c r="L24" s="23" t="n">
        <f aca="false">IFERROR(F24/J24*12,0)</f>
        <v>6.8873603713145</v>
      </c>
      <c r="M24" s="24" t="n">
        <f aca="false">J24*Assumptions!$B$8-F24</f>
        <v>5561982.35920796</v>
      </c>
      <c r="N24" s="34" t="n">
        <f aca="false">IFERROR(M24/F24,0)</f>
        <v>5.96928829220517</v>
      </c>
    </row>
    <row r="25" customFormat="false" ht="15" hidden="false" customHeight="false" outlineLevel="0" collapsed="false">
      <c r="A25" s="29" t="str">
        <f aca="false">Quotas!A25</f>
        <v>Peshawar</v>
      </c>
      <c r="B25" s="29" t="str">
        <f aca="false">Quotas!B25</f>
        <v>South Belt</v>
      </c>
      <c r="C25" s="29" t="str">
        <f aca="false">Quotas!C25</f>
        <v>C</v>
      </c>
      <c r="D25" s="29" t="str">
        <f aca="false">Quotas!D25</f>
        <v>PEW-1</v>
      </c>
      <c r="E25" s="30" t="n">
        <f aca="false">FeeSchedule!L25</f>
        <v>1048724.62410317</v>
      </c>
      <c r="F25" s="24" t="n">
        <f aca="false">E25*(1-Assumptions!$B$14)</f>
        <v>524362.312051587</v>
      </c>
      <c r="G25" s="24" t="n">
        <f aca="false">F25/Assumptions!$B$8</f>
        <v>131090.578012897</v>
      </c>
      <c r="H25" s="30" t="n">
        <f aca="false">Quotas!G25</f>
        <v>29.2709489003973</v>
      </c>
      <c r="I25" s="35" t="n">
        <f aca="false">H25*Assumptions!$B$12</f>
        <v>3658868.61254966</v>
      </c>
      <c r="J25" s="24" t="n">
        <f aca="false">I25*Assumptions!$B$13</f>
        <v>804951.094760926</v>
      </c>
      <c r="K25" s="35" t="n">
        <f aca="false">J25-G25</f>
        <v>673860.51674803</v>
      </c>
      <c r="L25" s="23" t="n">
        <f aca="false">IFERROR(F25/J25*12,0)</f>
        <v>7.81705594982499</v>
      </c>
      <c r="M25" s="24" t="n">
        <f aca="false">J25*Assumptions!$B$8-F25</f>
        <v>2695442.06699212</v>
      </c>
      <c r="N25" s="34" t="n">
        <f aca="false">IFERROR(M25/F25,0)</f>
        <v>5.14041914348517</v>
      </c>
    </row>
    <row r="26" customFormat="false" ht="15" hidden="false" customHeight="false" outlineLevel="0" collapsed="false">
      <c r="A26" s="29" t="str">
        <f aca="false">Quotas!A26</f>
        <v>Islamabad</v>
      </c>
      <c r="B26" s="29" t="str">
        <f aca="false">Quotas!B26</f>
        <v>ICT Rural belt</v>
      </c>
      <c r="C26" s="29" t="str">
        <f aca="false">Quotas!C26</f>
        <v>B</v>
      </c>
      <c r="D26" s="29" t="str">
        <f aca="false">Quotas!D26</f>
        <v>ISB-1</v>
      </c>
      <c r="E26" s="30" t="n">
        <f aca="false">FeeSchedule!L26</f>
        <v>4530732.26184577</v>
      </c>
      <c r="F26" s="24" t="n">
        <f aca="false">E26*(1-Assumptions!$B$14)</f>
        <v>2265366.13092289</v>
      </c>
      <c r="G26" s="24" t="n">
        <f aca="false">F26/Assumptions!$B$8</f>
        <v>566341.532730721</v>
      </c>
      <c r="H26" s="30" t="n">
        <f aca="false">Quotas!G26</f>
        <v>437.096130481132</v>
      </c>
      <c r="I26" s="35" t="n">
        <f aca="false">H26*Assumptions!$B$12</f>
        <v>54637016.3101416</v>
      </c>
      <c r="J26" s="24" t="n">
        <f aca="false">I26*Assumptions!$B$13</f>
        <v>12020143.5882311</v>
      </c>
      <c r="K26" s="35" t="n">
        <f aca="false">J26-G26</f>
        <v>11453802.0555004</v>
      </c>
      <c r="L26" s="23" t="n">
        <f aca="false">IFERROR(F26/J26*12,0)</f>
        <v>2.26156978671126</v>
      </c>
      <c r="M26" s="24" t="n">
        <f aca="false">J26*Assumptions!$B$8-F26</f>
        <v>45815208.2220017</v>
      </c>
      <c r="N26" s="34" t="n">
        <f aca="false">IFERROR(M26/F26,0)</f>
        <v>20.2241958139178</v>
      </c>
    </row>
    <row r="27" customFormat="false" ht="15" hidden="false" customHeight="false" outlineLevel="0" collapsed="false">
      <c r="A27" s="29" t="str">
        <f aca="false">Quotas!A27</f>
        <v>Islamabad</v>
      </c>
      <c r="B27" s="29" t="str">
        <f aca="false">Quotas!B27</f>
        <v>ICT Urban</v>
      </c>
      <c r="C27" s="29" t="str">
        <f aca="false">Quotas!C27</f>
        <v>A</v>
      </c>
      <c r="D27" s="29" t="str">
        <f aca="false">Quotas!D27</f>
        <v>ISB-1</v>
      </c>
      <c r="E27" s="30" t="n">
        <f aca="false">FeeSchedule!L27</f>
        <v>3690998.02611242</v>
      </c>
      <c r="F27" s="24" t="n">
        <f aca="false">E27*(1-Assumptions!$B$14)</f>
        <v>1845499.01305621</v>
      </c>
      <c r="G27" s="24" t="n">
        <f aca="false">F27/Assumptions!$B$8</f>
        <v>461374.753264053</v>
      </c>
      <c r="H27" s="30" t="n">
        <f aca="false">Quotas!G27</f>
        <v>676.588028610635</v>
      </c>
      <c r="I27" s="35" t="n">
        <f aca="false">H27*Assumptions!$B$12</f>
        <v>84573503.5763294</v>
      </c>
      <c r="J27" s="24" t="n">
        <f aca="false">I27*Assumptions!$B$13</f>
        <v>18606170.7867925</v>
      </c>
      <c r="K27" s="35" t="n">
        <f aca="false">J27-G27</f>
        <v>18144796.0335284</v>
      </c>
      <c r="L27" s="23" t="n">
        <f aca="false">IFERROR(F27/J27*12,0)</f>
        <v>1.19024964408017</v>
      </c>
      <c r="M27" s="24" t="n">
        <f aca="false">J27*Assumptions!$B$8-F27</f>
        <v>72579184.1341137</v>
      </c>
      <c r="N27" s="34" t="n">
        <f aca="false">IFERROR(M27/F27,0)</f>
        <v>39.3276743149919</v>
      </c>
    </row>
    <row r="28" customFormat="false" ht="15" hidden="false" customHeight="false" outlineLevel="0" collapsed="false">
      <c r="A28" s="29" t="str">
        <f aca="false">Quotas!A28</f>
        <v>Karachi</v>
      </c>
      <c r="B28" s="29" t="str">
        <f aca="false">Quotas!B28</f>
        <v>DHA Phase VIII + Sahil</v>
      </c>
      <c r="C28" s="29" t="str">
        <f aca="false">Quotas!C28</f>
        <v>S</v>
      </c>
      <c r="D28" s="29" t="str">
        <f aca="false">Quotas!D28</f>
        <v>KHI-1</v>
      </c>
      <c r="E28" s="30" t="n">
        <f aca="false">FeeSchedule!L28</f>
        <v>1285272.36737505</v>
      </c>
      <c r="F28" s="24" t="n">
        <f aca="false">E28*(1-Assumptions!$B$14)</f>
        <v>642636.183687527</v>
      </c>
      <c r="G28" s="24" t="n">
        <f aca="false">F28/Assumptions!$B$8</f>
        <v>160659.045921882</v>
      </c>
      <c r="H28" s="30" t="n">
        <f aca="false">Quotas!G28</f>
        <v>104.76847753176</v>
      </c>
      <c r="I28" s="35" t="n">
        <f aca="false">H28*Assumptions!$B$12</f>
        <v>13096059.69147</v>
      </c>
      <c r="J28" s="24" t="n">
        <f aca="false">I28*Assumptions!$B$13</f>
        <v>2881133.1321234</v>
      </c>
      <c r="K28" s="35" t="n">
        <f aca="false">J28-G28</f>
        <v>2720474.08620152</v>
      </c>
      <c r="L28" s="23" t="n">
        <f aca="false">IFERROR(F28/J28*12,0)</f>
        <v>2.67659766161755</v>
      </c>
      <c r="M28" s="24" t="n">
        <f aca="false">J28*Assumptions!$B$8-F28</f>
        <v>10881896.3448061</v>
      </c>
      <c r="N28" s="34" t="n">
        <f aca="false">IFERROR(M28/F28,0)</f>
        <v>16.9332145014997</v>
      </c>
    </row>
    <row r="29" customFormat="false" ht="15" hidden="false" customHeight="false" outlineLevel="0" collapsed="false">
      <c r="A29" s="29" t="str">
        <f aca="false">Quotas!A29</f>
        <v>Karachi</v>
      </c>
      <c r="B29" s="29" t="str">
        <f aca="false">Quotas!B29</f>
        <v>Bahria Town Karachi</v>
      </c>
      <c r="C29" s="29" t="str">
        <f aca="false">Quotas!C29</f>
        <v>S</v>
      </c>
      <c r="D29" s="29" t="str">
        <f aca="false">Quotas!D29</f>
        <v>KHI-4</v>
      </c>
      <c r="E29" s="30" t="n">
        <f aca="false">FeeSchedule!L29</f>
        <v>1036781.63392076</v>
      </c>
      <c r="F29" s="24" t="n">
        <f aca="false">E29*(1-Assumptions!$B$14)</f>
        <v>518390.816960378</v>
      </c>
      <c r="G29" s="24" t="n">
        <f aca="false">F29/Assumptions!$B$8</f>
        <v>129597.704240094</v>
      </c>
      <c r="H29" s="30" t="n">
        <f aca="false">Quotas!G29</f>
        <v>78.57635814882</v>
      </c>
      <c r="I29" s="35" t="n">
        <f aca="false">H29*Assumptions!$B$12</f>
        <v>9822044.7686025</v>
      </c>
      <c r="J29" s="24" t="n">
        <f aca="false">I29*Assumptions!$B$13</f>
        <v>2160849.84909255</v>
      </c>
      <c r="K29" s="35" t="n">
        <f aca="false">J29-G29</f>
        <v>2031252.14485246</v>
      </c>
      <c r="L29" s="23" t="n">
        <f aca="false">IFERROR(F29/J29*12,0)</f>
        <v>2.87881631670841</v>
      </c>
      <c r="M29" s="24" t="n">
        <f aca="false">J29*Assumptions!$B$8-F29</f>
        <v>8125008.57940982</v>
      </c>
      <c r="N29" s="34" t="n">
        <f aca="false">IFERROR(M29/F29,0)</f>
        <v>15.6735195022385</v>
      </c>
    </row>
    <row r="30" customFormat="false" ht="15" hidden="false" customHeight="false" outlineLevel="0" collapsed="false">
      <c r="A30" s="29" t="str">
        <f aca="false">Quotas!A30</f>
        <v>Lahore</v>
      </c>
      <c r="B30" s="29" t="str">
        <f aca="false">Quotas!B30</f>
        <v>DHA Lahore VII-IX + EME</v>
      </c>
      <c r="C30" s="29" t="str">
        <f aca="false">Quotas!C30</f>
        <v>S</v>
      </c>
      <c r="D30" s="29" t="str">
        <f aca="false">Quotas!D30</f>
        <v>LHE-1</v>
      </c>
      <c r="E30" s="30" t="n">
        <f aca="false">FeeSchedule!L30</f>
        <v>1507191.0273756</v>
      </c>
      <c r="F30" s="24" t="n">
        <f aca="false">E30*(1-Assumptions!$B$14)</f>
        <v>753595.513687801</v>
      </c>
      <c r="G30" s="24" t="n">
        <f aca="false">F30/Assumptions!$B$8</f>
        <v>188398.87842195</v>
      </c>
      <c r="H30" s="30" t="n">
        <f aca="false">Quotas!G30</f>
        <v>122.22989045372</v>
      </c>
      <c r="I30" s="35" t="n">
        <f aca="false">H30*Assumptions!$B$12</f>
        <v>15278736.306715</v>
      </c>
      <c r="J30" s="24" t="n">
        <f aca="false">I30*Assumptions!$B$13</f>
        <v>3361321.9874773</v>
      </c>
      <c r="K30" s="35" t="n">
        <f aca="false">J30-G30</f>
        <v>3172923.10905535</v>
      </c>
      <c r="L30" s="23" t="n">
        <f aca="false">IFERROR(F30/J30*12,0)</f>
        <v>2.69035403271216</v>
      </c>
      <c r="M30" s="24" t="n">
        <f aca="false">J30*Assumptions!$B$8-F30</f>
        <v>12691692.4362214</v>
      </c>
      <c r="N30" s="34" t="n">
        <f aca="false">IFERROR(M30/F30,0)</f>
        <v>16.8415180367957</v>
      </c>
    </row>
    <row r="31" customFormat="false" ht="15" hidden="false" customHeight="false" outlineLevel="0" collapsed="false">
      <c r="A31" s="29" t="str">
        <f aca="false">Quotas!A31</f>
        <v>Lahore</v>
      </c>
      <c r="B31" s="29" t="str">
        <f aca="false">Quotas!B31</f>
        <v>Bahria Town Lahore + Lake City</v>
      </c>
      <c r="C31" s="29" t="str">
        <f aca="false">Quotas!C31</f>
        <v>S</v>
      </c>
      <c r="D31" s="29" t="str">
        <f aca="false">Quotas!D31</f>
        <v>LHE-1</v>
      </c>
      <c r="E31" s="30" t="n">
        <f aca="false">FeeSchedule!L31</f>
        <v>760300.254618895</v>
      </c>
      <c r="F31" s="24" t="n">
        <f aca="false">E31*(1-Assumptions!$B$14)</f>
        <v>380150.127309447</v>
      </c>
      <c r="G31" s="24" t="n">
        <f aca="false">F31/Assumptions!$B$8</f>
        <v>95037.5318273618</v>
      </c>
      <c r="H31" s="30" t="n">
        <f aca="false">Quotas!G31</f>
        <v>61.11494522686</v>
      </c>
      <c r="I31" s="35" t="n">
        <f aca="false">H31*Assumptions!$B$12</f>
        <v>7639368.1533575</v>
      </c>
      <c r="J31" s="24" t="n">
        <f aca="false">I31*Assumptions!$B$13</f>
        <v>1680660.99373865</v>
      </c>
      <c r="K31" s="35" t="n">
        <f aca="false">J31-G31</f>
        <v>1585623.46191129</v>
      </c>
      <c r="L31" s="23" t="n">
        <f aca="false">IFERROR(F31/J31*12,0)</f>
        <v>2.71429011841679</v>
      </c>
      <c r="M31" s="24" t="n">
        <f aca="false">J31*Assumptions!$B$8-F31</f>
        <v>6342493.84764515</v>
      </c>
      <c r="N31" s="34" t="n">
        <f aca="false">IFERROR(M31/F31,0)</f>
        <v>16.6841818324114</v>
      </c>
    </row>
    <row r="32" customFormat="false" ht="15" hidden="false" customHeight="false" outlineLevel="0" collapsed="false">
      <c r="A32" s="29" t="str">
        <f aca="false">Quotas!A32</f>
        <v>Islamabad</v>
      </c>
      <c r="B32" s="29" t="str">
        <f aca="false">Quotas!B32</f>
        <v>DHA Islamabad + Bahria Enclave</v>
      </c>
      <c r="C32" s="29" t="str">
        <f aca="false">Quotas!C32</f>
        <v>S</v>
      </c>
      <c r="D32" s="29" t="str">
        <f aca="false">Quotas!D32</f>
        <v>ISB-1</v>
      </c>
      <c r="E32" s="30" t="n">
        <f aca="false">FeeSchedule!L32</f>
        <v>869178.802950897</v>
      </c>
      <c r="F32" s="24" t="n">
        <f aca="false">E32*(1-Assumptions!$B$14)</f>
        <v>434589.401475449</v>
      </c>
      <c r="G32" s="24" t="n">
        <f aca="false">F32/Assumptions!$B$8</f>
        <v>108647.350368862</v>
      </c>
      <c r="H32" s="30" t="n">
        <f aca="false">Quotas!G32</f>
        <v>69.84565168784</v>
      </c>
      <c r="I32" s="35" t="n">
        <f aca="false">H32*Assumptions!$B$12</f>
        <v>8730706.46098</v>
      </c>
      <c r="J32" s="24" t="n">
        <f aca="false">I32*Assumptions!$B$13</f>
        <v>1920755.4214156</v>
      </c>
      <c r="K32" s="35" t="n">
        <f aca="false">J32-G32</f>
        <v>1812108.07104674</v>
      </c>
      <c r="L32" s="23" t="n">
        <f aca="false">IFERROR(F32/J32*12,0)</f>
        <v>2.71511550068247</v>
      </c>
      <c r="M32" s="24" t="n">
        <f aca="false">J32*Assumptions!$B$8-F32</f>
        <v>7248432.28418695</v>
      </c>
      <c r="N32" s="34" t="n">
        <f aca="false">IFERROR(M32/F32,0)</f>
        <v>16.6788059248068</v>
      </c>
    </row>
    <row r="33" customFormat="false" ht="15" hidden="false" customHeight="false" outlineLevel="0" collapsed="false">
      <c r="A33" s="29" t="str">
        <f aca="false">Quotas!A33</f>
        <v>Peshawar</v>
      </c>
      <c r="B33" s="29" t="str">
        <f aca="false">Quotas!B33</f>
        <v>Hayatabad Ph 6-7 + DHA Peshawar</v>
      </c>
      <c r="C33" s="29" t="str">
        <f aca="false">Quotas!C33</f>
        <v>S</v>
      </c>
      <c r="D33" s="29" t="str">
        <f aca="false">Quotas!D33</f>
        <v>PEW-1</v>
      </c>
      <c r="E33" s="30" t="n">
        <f aca="false">FeeSchedule!L33</f>
        <v>540693.574249758</v>
      </c>
      <c r="F33" s="24" t="n">
        <f aca="false">E33*(1-Assumptions!$B$14)</f>
        <v>270346.787124879</v>
      </c>
      <c r="G33" s="24" t="n">
        <f aca="false">F33/Assumptions!$B$8</f>
        <v>67586.6967812198</v>
      </c>
      <c r="H33" s="30" t="n">
        <f aca="false">Quotas!G33</f>
        <v>43.6535323049</v>
      </c>
      <c r="I33" s="35" t="n">
        <f aca="false">H33*Assumptions!$B$12</f>
        <v>5456691.5381125</v>
      </c>
      <c r="J33" s="24" t="n">
        <f aca="false">I33*Assumptions!$B$13</f>
        <v>1200472.13838475</v>
      </c>
      <c r="K33" s="35" t="n">
        <f aca="false">J33-G33</f>
        <v>1132885.44160353</v>
      </c>
      <c r="L33" s="23" t="n">
        <f aca="false">IFERROR(F33/J33*12,0)</f>
        <v>2.70240461379104</v>
      </c>
      <c r="M33" s="24" t="n">
        <f aca="false">J33*Assumptions!$B$8-F33</f>
        <v>4531541.76641412</v>
      </c>
      <c r="N33" s="34" t="n">
        <f aca="false">IFERROR(M33/F33,0)</f>
        <v>16.7619590179221</v>
      </c>
    </row>
    <row r="34" customFormat="false" ht="15" hidden="false" customHeight="false" outlineLevel="0" collapsed="false">
      <c r="A34" s="29" t="str">
        <f aca="false">Quotas!A34</f>
        <v>Multan</v>
      </c>
      <c r="B34" s="29" t="str">
        <f aca="false">Quotas!B34</f>
        <v>DHA Multan</v>
      </c>
      <c r="C34" s="29" t="str">
        <f aca="false">Quotas!C34</f>
        <v>S</v>
      </c>
      <c r="D34" s="29" t="str">
        <f aca="false">Quotas!D34</f>
        <v>MUX-1</v>
      </c>
      <c r="E34" s="30" t="n">
        <f aca="false">FeeSchedule!L34</f>
        <v>439213.360738272</v>
      </c>
      <c r="F34" s="24" t="n">
        <f aca="false">E34*(1-Assumptions!$B$14)</f>
        <v>219606.680369136</v>
      </c>
      <c r="G34" s="24" t="n">
        <f aca="false">F34/Assumptions!$B$8</f>
        <v>54901.670092284</v>
      </c>
      <c r="H34" s="30" t="n">
        <f aca="false">Quotas!G34</f>
        <v>34.92282584392</v>
      </c>
      <c r="I34" s="35" t="n">
        <f aca="false">H34*Assumptions!$B$12</f>
        <v>4365353.23049</v>
      </c>
      <c r="J34" s="24" t="n">
        <f aca="false">I34*Assumptions!$B$13</f>
        <v>960377.7107078</v>
      </c>
      <c r="K34" s="35" t="n">
        <f aca="false">J34-G34</f>
        <v>905476.040615516</v>
      </c>
      <c r="L34" s="23" t="n">
        <f aca="false">IFERROR(F34/J34*12,0)</f>
        <v>2.74400387998116</v>
      </c>
      <c r="M34" s="24" t="n">
        <f aca="false">J34*Assumptions!$B$8-F34</f>
        <v>3621904.16246206</v>
      </c>
      <c r="N34" s="34" t="n">
        <f aca="false">IFERROR(M34/F34,0)</f>
        <v>16.4926866358256</v>
      </c>
    </row>
    <row r="35" customFormat="false" ht="15" hidden="false" customHeight="false" outlineLevel="0" collapsed="false">
      <c r="A35" s="25"/>
      <c r="B35" s="26" t="s">
        <v>294</v>
      </c>
      <c r="C35" s="25"/>
      <c r="D35" s="25"/>
      <c r="E35" s="13" t="n">
        <f aca="false">SUM(E6:E34)</f>
        <v>105823931.688971</v>
      </c>
      <c r="F35" s="13" t="n">
        <f aca="false">SUM(F6:F34)</f>
        <v>52911965.8444854</v>
      </c>
      <c r="G35" s="13" t="n">
        <f aca="false">SUM(G6:G34)</f>
        <v>13227991.4611213</v>
      </c>
      <c r="H35" s="13" t="n">
        <f aca="false">SUM(H6:H34)</f>
        <v>9528.60749128697</v>
      </c>
      <c r="I35" s="13" t="n">
        <f aca="false">SUM(I6:I34)</f>
        <v>1191075936.41087</v>
      </c>
      <c r="J35" s="13" t="n">
        <f aca="false">SUM(J6:J34)</f>
        <v>262036706.010392</v>
      </c>
      <c r="K35" s="13" t="n">
        <f aca="false">SUM(K6:K34)</f>
        <v>248808714.54927</v>
      </c>
      <c r="L35" s="14" t="n">
        <f aca="false">MEDIAN(L6:L34)</f>
        <v>2.71511550068247</v>
      </c>
      <c r="M35" s="13" t="n">
        <f aca="false">SUM(M6:M34)</f>
        <v>995234858.197081</v>
      </c>
      <c r="N35" s="15" t="n">
        <f aca="false">IFERROR(M35/F35,0)</f>
        <v>18.809258781316</v>
      </c>
    </row>
    <row r="37" customFormat="false" ht="15" hidden="false" customHeight="false" outlineLevel="0" collapsed="false">
      <c r="A37" s="27" t="s">
        <v>332</v>
      </c>
    </row>
    <row r="38" customFormat="false" ht="15" hidden="false" customHeight="false" outlineLevel="0" collapsed="false">
      <c r="A38" s="28" t="s">
        <v>333</v>
      </c>
    </row>
    <row r="39" customFormat="false" ht="15" hidden="false" customHeight="false" outlineLevel="0" collapsed="false">
      <c r="A39" s="28" t="s">
        <v>334</v>
      </c>
    </row>
  </sheetData>
  <mergeCells count="1">
    <mergeCell ref="A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6"/>
    <col collapsed="false" customWidth="true" hidden="false" outlineLevel="0" max="3" min="3" style="0" width="12"/>
    <col collapsed="false" customWidth="true" hidden="false" outlineLevel="0" max="4" min="4" style="0" width="11"/>
    <col collapsed="false" customWidth="true" hidden="false" outlineLevel="0" max="5" min="5" style="0" width="14"/>
    <col collapsed="false" customWidth="true" hidden="false" outlineLevel="0" max="6" min="6" style="0" width="11"/>
    <col collapsed="false" customWidth="true" hidden="false" outlineLevel="0" max="7" min="7" style="0" width="17"/>
    <col collapsed="false" customWidth="true" hidden="false" outlineLevel="0" max="8" min="8" style="0" width="10"/>
    <col collapsed="false" customWidth="true" hidden="false" outlineLevel="0" max="9" min="9" style="0" width="12"/>
    <col collapsed="false" customWidth="true" hidden="false" outlineLevel="0" max="11" min="10" style="0" width="18"/>
  </cols>
  <sheetData>
    <row r="1" customFormat="false" ht="17.35" hidden="false" customHeight="false" outlineLevel="0" collapsed="false">
      <c r="A1" s="1" t="s">
        <v>335</v>
      </c>
    </row>
    <row r="2" customFormat="false" ht="31.5" hidden="false" customHeight="true" outlineLevel="0" collapsed="false">
      <c r="A2" s="5" t="s">
        <v>336</v>
      </c>
      <c r="B2" s="5"/>
      <c r="C2" s="5"/>
      <c r="D2" s="5"/>
      <c r="E2" s="5"/>
      <c r="F2" s="5"/>
      <c r="G2" s="5"/>
      <c r="H2" s="5"/>
      <c r="I2" s="5"/>
      <c r="J2" s="5"/>
      <c r="K2" s="5"/>
      <c r="L2" s="5"/>
      <c r="M2" s="5"/>
      <c r="N2" s="5"/>
    </row>
    <row r="4" customFormat="false" ht="30" hidden="false" customHeight="true" outlineLevel="0" collapsed="false">
      <c r="A4" s="16" t="s">
        <v>337</v>
      </c>
      <c r="B4" s="16" t="s">
        <v>220</v>
      </c>
      <c r="C4" s="16" t="s">
        <v>134</v>
      </c>
      <c r="D4" s="16" t="s">
        <v>338</v>
      </c>
      <c r="E4" s="16" t="s">
        <v>339</v>
      </c>
      <c r="F4" s="16" t="s">
        <v>277</v>
      </c>
      <c r="G4" s="16" t="s">
        <v>283</v>
      </c>
      <c r="H4" s="16" t="s">
        <v>340</v>
      </c>
      <c r="I4" s="16" t="s">
        <v>341</v>
      </c>
      <c r="J4" s="16" t="s">
        <v>342</v>
      </c>
      <c r="K4" s="16" t="s">
        <v>343</v>
      </c>
    </row>
    <row r="5" customFormat="false" ht="61.5" hidden="false" customHeight="true" outlineLevel="0" collapsed="false">
      <c r="A5" s="17"/>
      <c r="B5" s="17"/>
      <c r="C5" s="17"/>
      <c r="D5" s="17" t="s">
        <v>344</v>
      </c>
      <c r="E5" s="17" t="s">
        <v>345</v>
      </c>
      <c r="F5" s="17" t="s">
        <v>346</v>
      </c>
      <c r="G5" s="17" t="s">
        <v>347</v>
      </c>
      <c r="H5" s="17" t="s">
        <v>289</v>
      </c>
      <c r="I5" s="17" t="s">
        <v>348</v>
      </c>
      <c r="J5" s="17" t="s">
        <v>349</v>
      </c>
      <c r="K5" s="17" t="s">
        <v>350</v>
      </c>
    </row>
    <row r="6" customFormat="false" ht="15" hidden="false" customHeight="false" outlineLevel="0" collapsed="false">
      <c r="A6" s="32" t="s">
        <v>231</v>
      </c>
      <c r="B6" s="18" t="s">
        <v>351</v>
      </c>
      <c r="C6" s="18" t="s">
        <v>163</v>
      </c>
      <c r="D6" s="24" t="n">
        <f aca="false">COUNTIF(PumpPoints!$E$6:$E$34,A6)</f>
        <v>2</v>
      </c>
      <c r="E6" s="24" t="n">
        <f aca="false">SUMIFS(PumpPoints!$I$6:$I$34,PumpPoints!$E$6:$E$34,A6)</f>
        <v>321087.588505791</v>
      </c>
      <c r="F6" s="23" t="n">
        <f aca="false">SUMIFS(FeeSchedule!$F$6:$F$34,FeeSchedule!$E$6:$E$34,A6)</f>
        <v>10.8187323518332</v>
      </c>
      <c r="G6" s="35" t="n">
        <f aca="false">SUMIFS(FeeSchedule!$L$6:$L$34,FeeSchedule!$E$6:$E$34,A6)</f>
        <v>11448807.9336166</v>
      </c>
      <c r="H6" s="23" t="n">
        <f aca="false">G6/10000000</f>
        <v>1.14488079336166</v>
      </c>
      <c r="I6" s="24" t="n">
        <f aca="false">SUMIFS(Quotas!$H$6:$H$34,Quotas!$D$6:$D$34,A6)</f>
        <v>398.080912503756</v>
      </c>
      <c r="J6" s="24" t="n">
        <f aca="false">SUMIFS(Economics!$I$6:$I$34,Economics!$D$6:$D$34,A6)</f>
        <v>199040456.251878</v>
      </c>
      <c r="K6" s="24" t="n">
        <f aca="false">SUMIFS(Economics!$K$6:$K$34,Economics!$D$6:$D$34,A6)</f>
        <v>42357799.3837111</v>
      </c>
    </row>
    <row r="7" customFormat="false" ht="15" hidden="false" customHeight="false" outlineLevel="0" collapsed="false">
      <c r="A7" s="32" t="s">
        <v>268</v>
      </c>
      <c r="B7" s="18" t="s">
        <v>352</v>
      </c>
      <c r="C7" s="18" t="s">
        <v>163</v>
      </c>
      <c r="D7" s="24" t="n">
        <f aca="false">COUNTIF(PumpPoints!$E$6:$E$34,A7)</f>
        <v>2</v>
      </c>
      <c r="E7" s="24" t="n">
        <f aca="false">SUMIFS(PumpPoints!$I$6:$I$34,PumpPoints!$E$6:$E$34,A7)</f>
        <v>720968.547903793</v>
      </c>
      <c r="F7" s="23" t="n">
        <f aca="false">SUMIFS(FeeSchedule!$F$6:$F$34,FeeSchedule!$E$6:$E$34,A7)</f>
        <v>9.48656077334852</v>
      </c>
      <c r="G7" s="35" t="n">
        <f aca="false">SUMIFS(FeeSchedule!$L$6:$L$34,FeeSchedule!$E$6:$E$34,A7)</f>
        <v>10039051.592421</v>
      </c>
      <c r="H7" s="23" t="n">
        <f aca="false">G7/10000000</f>
        <v>1.0039051592421</v>
      </c>
      <c r="I7" s="24" t="n">
        <f aca="false">SUMIFS(Quotas!$H$6:$H$34,Quotas!$D$6:$D$34,A7)</f>
        <v>182.234706186063</v>
      </c>
      <c r="J7" s="24" t="n">
        <f aca="false">SUMIFS(Economics!$I$6:$I$34,Economics!$D$6:$D$34,A7)</f>
        <v>91117353.0930315</v>
      </c>
      <c r="K7" s="24" t="n">
        <f aca="false">SUMIFS(Economics!$K$6:$K$34,Economics!$D$6:$D$34,A7)</f>
        <v>18790936.2314143</v>
      </c>
    </row>
    <row r="8" customFormat="false" ht="15" hidden="false" customHeight="false" outlineLevel="0" collapsed="false">
      <c r="A8" s="32" t="s">
        <v>269</v>
      </c>
      <c r="B8" s="18" t="s">
        <v>353</v>
      </c>
      <c r="C8" s="18" t="s">
        <v>163</v>
      </c>
      <c r="D8" s="24" t="n">
        <f aca="false">COUNTIF(PumpPoints!$E$6:$E$34,A8)</f>
        <v>3</v>
      </c>
      <c r="E8" s="24" t="n">
        <f aca="false">SUMIFS(PumpPoints!$I$6:$I$34,PumpPoints!$E$6:$E$34,A8)</f>
        <v>1137520.76127454</v>
      </c>
      <c r="F8" s="23" t="n">
        <f aca="false">SUMIFS(FeeSchedule!$F$6:$F$34,FeeSchedule!$E$6:$E$34,A8)</f>
        <v>11.68049562632</v>
      </c>
      <c r="G8" s="35" t="n">
        <f aca="false">SUMIFS(FeeSchedule!$L$6:$L$34,FeeSchedule!$E$6:$E$34,A8)</f>
        <v>12360759.7125301</v>
      </c>
      <c r="H8" s="23" t="n">
        <f aca="false">G8/10000000</f>
        <v>1.23607597125301</v>
      </c>
      <c r="I8" s="24" t="n">
        <f aca="false">SUMIFS(Quotas!$H$6:$H$34,Quotas!$D$6:$D$34,A8)</f>
        <v>102.225326772562</v>
      </c>
      <c r="J8" s="24" t="n">
        <f aca="false">SUMIFS(Economics!$I$6:$I$34,Economics!$D$6:$D$34,A8)</f>
        <v>51112663.386281</v>
      </c>
      <c r="K8" s="24" t="n">
        <f aca="false">SUMIFS(Economics!$K$6:$K$34,Economics!$D$6:$D$34,A8)</f>
        <v>9699690.98091556</v>
      </c>
    </row>
    <row r="9" customFormat="false" ht="15" hidden="false" customHeight="false" outlineLevel="0" collapsed="false">
      <c r="A9" s="32" t="s">
        <v>233</v>
      </c>
      <c r="B9" s="18" t="s">
        <v>354</v>
      </c>
      <c r="C9" s="18" t="s">
        <v>163</v>
      </c>
      <c r="D9" s="24" t="n">
        <f aca="false">COUNTIF(PumpPoints!$E$6:$E$34,A9)</f>
        <v>2</v>
      </c>
      <c r="E9" s="24" t="n">
        <f aca="false">SUMIFS(PumpPoints!$I$6:$I$34,PumpPoints!$E$6:$E$34,A9)</f>
        <v>428747.961551299</v>
      </c>
      <c r="F9" s="23" t="n">
        <f aca="false">SUMIFS(FeeSchedule!$F$6:$F$34,FeeSchedule!$E$6:$E$34,A9)</f>
        <v>8.79606839261597</v>
      </c>
      <c r="G9" s="35" t="n">
        <f aca="false">SUMIFS(FeeSchedule!$L$6:$L$34,FeeSchedule!$E$6:$E$34,A9)</f>
        <v>9308345.40711708</v>
      </c>
      <c r="H9" s="23" t="n">
        <f aca="false">G9/10000000</f>
        <v>0.930834540711708</v>
      </c>
      <c r="I9" s="24" t="n">
        <f aca="false">SUMIFS(Quotas!$H$6:$H$34,Quotas!$D$6:$D$34,A9)</f>
        <v>209.695181634567</v>
      </c>
      <c r="J9" s="24" t="n">
        <f aca="false">SUMIFS(Economics!$I$6:$I$34,Economics!$D$6:$D$34,A9)</f>
        <v>104847590.817283</v>
      </c>
      <c r="K9" s="24" t="n">
        <f aca="false">SUMIFS(Economics!$K$6:$K$34,Economics!$D$6:$D$34,A9)</f>
        <v>21902926.8039127</v>
      </c>
    </row>
    <row r="10" customFormat="false" ht="15" hidden="false" customHeight="false" outlineLevel="0" collapsed="false">
      <c r="A10" s="32" t="s">
        <v>235</v>
      </c>
      <c r="B10" s="18" t="s">
        <v>355</v>
      </c>
      <c r="C10" s="18" t="s">
        <v>173</v>
      </c>
      <c r="D10" s="24" t="n">
        <f aca="false">COUNTIF(PumpPoints!$E$6:$E$34,A10)</f>
        <v>4</v>
      </c>
      <c r="E10" s="24" t="n">
        <f aca="false">SUMIFS(PumpPoints!$I$6:$I$34,PumpPoints!$E$6:$E$34,A10)</f>
        <v>523850.014958932</v>
      </c>
      <c r="F10" s="23" t="n">
        <f aca="false">SUMIFS(FeeSchedule!$F$6:$F$34,FeeSchedule!$E$6:$E$34,A10)</f>
        <v>14.0949763815848</v>
      </c>
      <c r="G10" s="35" t="n">
        <f aca="false">SUMIFS(FeeSchedule!$L$6:$L$34,FeeSchedule!$E$6:$E$34,A10)</f>
        <v>14915858.1776248</v>
      </c>
      <c r="H10" s="23" t="n">
        <f aca="false">G10/10000000</f>
        <v>1.49158581776248</v>
      </c>
      <c r="I10" s="24" t="n">
        <f aca="false">SUMIFS(Quotas!$H$6:$H$34,Quotas!$D$6:$D$34,A10)</f>
        <v>507.609285218761</v>
      </c>
      <c r="J10" s="24" t="n">
        <f aca="false">SUMIFS(Economics!$I$6:$I$34,Economics!$D$6:$D$34,A10)</f>
        <v>253804642.60938</v>
      </c>
      <c r="K10" s="24" t="n">
        <f aca="false">SUMIFS(Economics!$K$6:$K$34,Economics!$D$6:$D$34,A10)</f>
        <v>53972539.1018606</v>
      </c>
    </row>
    <row r="11" customFormat="false" ht="15" hidden="false" customHeight="false" outlineLevel="0" collapsed="false">
      <c r="A11" s="32" t="s">
        <v>270</v>
      </c>
      <c r="B11" s="18" t="s">
        <v>356</v>
      </c>
      <c r="C11" s="18" t="s">
        <v>173</v>
      </c>
      <c r="D11" s="24" t="n">
        <f aca="false">COUNTIF(PumpPoints!$E$6:$E$34,A11)</f>
        <v>2</v>
      </c>
      <c r="E11" s="24" t="n">
        <f aca="false">SUMIFS(PumpPoints!$I$6:$I$34,PumpPoints!$E$6:$E$34,A11)</f>
        <v>1026989.99021458</v>
      </c>
      <c r="F11" s="23" t="n">
        <f aca="false">SUMIFS(FeeSchedule!$F$6:$F$34,FeeSchedule!$E$6:$E$34,A11)</f>
        <v>9.17835236437716</v>
      </c>
      <c r="G11" s="35" t="n">
        <f aca="false">SUMIFS(FeeSchedule!$L$6:$L$34,FeeSchedule!$E$6:$E$34,A11)</f>
        <v>9712893.33625151</v>
      </c>
      <c r="H11" s="23" t="n">
        <f aca="false">G11/10000000</f>
        <v>0.971289333625151</v>
      </c>
      <c r="I11" s="24" t="n">
        <f aca="false">SUMIFS(Quotas!$H$6:$H$34,Quotas!$D$6:$D$34,A11)</f>
        <v>89.7439560193983</v>
      </c>
      <c r="J11" s="24" t="n">
        <f aca="false">SUMIFS(Economics!$I$6:$I$34,Economics!$D$6:$D$34,A11)</f>
        <v>44871978.0096992</v>
      </c>
      <c r="K11" s="24" t="n">
        <f aca="false">SUMIFS(Economics!$K$6:$K$34,Economics!$D$6:$D$34,A11)</f>
        <v>8657723.49510237</v>
      </c>
    </row>
    <row r="12" customFormat="false" ht="15" hidden="false" customHeight="false" outlineLevel="0" collapsed="false">
      <c r="A12" s="32" t="s">
        <v>271</v>
      </c>
      <c r="B12" s="18" t="s">
        <v>357</v>
      </c>
      <c r="C12" s="18" t="s">
        <v>173</v>
      </c>
      <c r="D12" s="24" t="n">
        <f aca="false">COUNTIF(PumpPoints!$E$6:$E$34,A12)</f>
        <v>1</v>
      </c>
      <c r="E12" s="24" t="n">
        <f aca="false">SUMIFS(PumpPoints!$I$6:$I$34,PumpPoints!$E$6:$E$34,A12)</f>
        <v>462756.81487868</v>
      </c>
      <c r="F12" s="23" t="n">
        <f aca="false">SUMIFS(FeeSchedule!$F$6:$F$34,FeeSchedule!$E$6:$E$34,A12)</f>
        <v>7.35800288672089</v>
      </c>
      <c r="G12" s="35" t="n">
        <f aca="false">SUMIFS(FeeSchedule!$L$6:$L$34,FeeSchedule!$E$6:$E$34,A12)</f>
        <v>7786527.94851601</v>
      </c>
      <c r="H12" s="23" t="n">
        <f aca="false">G12/10000000</f>
        <v>0.778652794851601</v>
      </c>
      <c r="I12" s="24" t="n">
        <f aca="false">SUMIFS(Quotas!$H$6:$H$34,Quotas!$D$6:$D$34,A12)</f>
        <v>206.894093698108</v>
      </c>
      <c r="J12" s="24" t="n">
        <f aca="false">SUMIFS(Economics!$I$6:$I$34,Economics!$D$6:$D$34,A12)</f>
        <v>103447046.849054</v>
      </c>
      <c r="K12" s="24" t="n">
        <f aca="false">SUMIFS(Economics!$K$6:$K$34,Economics!$D$6:$D$34,A12)</f>
        <v>21785034.3132274</v>
      </c>
    </row>
    <row r="13" customFormat="false" ht="15" hidden="false" customHeight="false" outlineLevel="0" collapsed="false">
      <c r="A13" s="32" t="s">
        <v>242</v>
      </c>
      <c r="B13" s="18" t="s">
        <v>179</v>
      </c>
      <c r="C13" s="18" t="s">
        <v>179</v>
      </c>
      <c r="D13" s="24" t="n">
        <f aca="false">COUNTIF(PumpPoints!$E$6:$E$34,A13)</f>
        <v>5</v>
      </c>
      <c r="E13" s="24" t="n">
        <f aca="false">SUMIFS(PumpPoints!$I$6:$I$34,PumpPoints!$E$6:$E$34,A13)</f>
        <v>949718.13169828</v>
      </c>
      <c r="F13" s="23" t="n">
        <f aca="false">SUMIFS(FeeSchedule!$F$6:$F$34,FeeSchedule!$E$6:$E$34,A13)</f>
        <v>11.9856844518973</v>
      </c>
      <c r="G13" s="35" t="n">
        <f aca="false">SUMIFS(FeeSchedule!$L$6:$L$34,FeeSchedule!$E$6:$E$34,A13)</f>
        <v>12683722.5268314</v>
      </c>
      <c r="H13" s="23" t="n">
        <f aca="false">G13/10000000</f>
        <v>1.26837225268314</v>
      </c>
      <c r="I13" s="24" t="n">
        <f aca="false">SUMIFS(Quotas!$H$6:$H$34,Quotas!$D$6:$D$34,A13)</f>
        <v>231.923784995238</v>
      </c>
      <c r="J13" s="24" t="n">
        <f aca="false">SUMIFS(Economics!$I$6:$I$34,Economics!$D$6:$D$34,A13)</f>
        <v>115961892.497619</v>
      </c>
      <c r="K13" s="24" t="n">
        <f aca="false">SUMIFS(Economics!$K$6:$K$34,Economics!$D$6:$D$34,A13)</f>
        <v>23926151.0336223</v>
      </c>
    </row>
    <row r="14" customFormat="false" ht="15" hidden="false" customHeight="false" outlineLevel="0" collapsed="false">
      <c r="A14" s="32" t="s">
        <v>240</v>
      </c>
      <c r="B14" s="18" t="s">
        <v>184</v>
      </c>
      <c r="C14" s="18" t="s">
        <v>184</v>
      </c>
      <c r="D14" s="24" t="n">
        <f aca="false">COUNTIF(PumpPoints!$E$6:$E$34,A14)</f>
        <v>5</v>
      </c>
      <c r="E14" s="24" t="n">
        <f aca="false">SUMIFS(PumpPoints!$I$6:$I$34,PumpPoints!$E$6:$E$34,A14)</f>
        <v>722335.101472203</v>
      </c>
      <c r="F14" s="23" t="n">
        <f aca="false">SUMIFS(FeeSchedule!$F$6:$F$34,FeeSchedule!$E$6:$E$34,A14)</f>
        <v>8.01052826884965</v>
      </c>
      <c r="G14" s="35" t="n">
        <f aca="false">SUMIFS(FeeSchedule!$L$6:$L$34,FeeSchedule!$E$6:$E$34,A14)</f>
        <v>8477055.96315314</v>
      </c>
      <c r="H14" s="23" t="n">
        <f aca="false">G14/10000000</f>
        <v>0.847705596315314</v>
      </c>
      <c r="I14" s="24" t="n">
        <f aca="false">SUMIFS(Quotas!$H$6:$H$34,Quotas!$D$6:$D$34,A14)</f>
        <v>157.862173098387</v>
      </c>
      <c r="J14" s="24" t="n">
        <f aca="false">SUMIFS(Economics!$I$6:$I$34,Economics!$D$6:$D$34,A14)</f>
        <v>78931086.5491934</v>
      </c>
      <c r="K14" s="24" t="n">
        <f aca="false">SUMIFS(Economics!$K$6:$K$34,Economics!$D$6:$D$34,A14)</f>
        <v>16305207.0454284</v>
      </c>
    </row>
    <row r="15" customFormat="false" ht="15" hidden="false" customHeight="false" outlineLevel="0" collapsed="false">
      <c r="A15" s="32" t="s">
        <v>238</v>
      </c>
      <c r="B15" s="18" t="s">
        <v>95</v>
      </c>
      <c r="C15" s="18" t="s">
        <v>95</v>
      </c>
      <c r="D15" s="24" t="n">
        <f aca="false">COUNTIF(PumpPoints!$E$6:$E$34,A15)</f>
        <v>3</v>
      </c>
      <c r="E15" s="24" t="n">
        <f aca="false">SUMIFS(PumpPoints!$I$6:$I$34,PumpPoints!$E$6:$E$34,A15)</f>
        <v>398356.391425334</v>
      </c>
      <c r="F15" s="23" t="n">
        <f aca="false">SUMIFS(FeeSchedule!$F$6:$F$34,FeeSchedule!$E$6:$E$34,A15)</f>
        <v>8.59059850245251</v>
      </c>
      <c r="G15" s="35" t="n">
        <f aca="false">SUMIFS(FeeSchedule!$L$6:$L$34,FeeSchedule!$E$6:$E$34,A15)</f>
        <v>9090909.09090909</v>
      </c>
      <c r="H15" s="23" t="n">
        <f aca="false">G15/10000000</f>
        <v>0.909090909090909</v>
      </c>
      <c r="I15" s="24" t="n">
        <f aca="false">SUMIFS(Quotas!$H$6:$H$34,Quotas!$D$6:$D$34,A15)</f>
        <v>295.882452694902</v>
      </c>
      <c r="J15" s="24" t="n">
        <f aca="false">SUMIFS(Economics!$I$6:$I$34,Economics!$D$6:$D$34,A15)</f>
        <v>147941226.347451</v>
      </c>
      <c r="K15" s="24" t="n">
        <f aca="false">SUMIFS(Economics!$K$6:$K$34,Economics!$D$6:$D$34,A15)</f>
        <v>31410706.1600756</v>
      </c>
    </row>
    <row r="16" customFormat="false" ht="15" hidden="false" customHeight="false" outlineLevel="0" collapsed="false">
      <c r="A16" s="25"/>
      <c r="B16" s="26" t="s">
        <v>358</v>
      </c>
      <c r="C16" s="25"/>
      <c r="D16" s="13" t="n">
        <f aca="false">SUM(D6:D15)</f>
        <v>29</v>
      </c>
      <c r="E16" s="13" t="n">
        <f aca="false">SUM(E6:E15)</f>
        <v>6692331.30388343</v>
      </c>
      <c r="F16" s="14" t="n">
        <f aca="false">SUM(F6:F15)</f>
        <v>100</v>
      </c>
      <c r="G16" s="13" t="n">
        <f aca="false">SUM(G6:G15)</f>
        <v>105823931.688971</v>
      </c>
      <c r="H16" s="14" t="n">
        <f aca="false">SUM(H6:H15)</f>
        <v>10.5823931688971</v>
      </c>
      <c r="I16" s="13" t="n">
        <f aca="false">SUM(I6:I15)</f>
        <v>2382.15187282174</v>
      </c>
      <c r="J16" s="13" t="n">
        <f aca="false">SUM(J6:J15)</f>
        <v>1191075936.41087</v>
      </c>
      <c r="K16" s="13" t="n">
        <f aca="false">SUM(K6:K15)</f>
        <v>248808714.54927</v>
      </c>
      <c r="L16" s="25"/>
      <c r="M16" s="25"/>
      <c r="N16" s="25"/>
    </row>
    <row r="18" customFormat="false" ht="15" hidden="false" customHeight="false" outlineLevel="0" collapsed="false">
      <c r="A18" s="37" t="s">
        <v>359</v>
      </c>
    </row>
    <row r="19" customFormat="false" ht="15" hidden="false" customHeight="false" outlineLevel="0" collapsed="false">
      <c r="A19" s="38" t="s">
        <v>218</v>
      </c>
      <c r="B19" s="38" t="s">
        <v>134</v>
      </c>
      <c r="C19" s="38" t="s">
        <v>360</v>
      </c>
      <c r="D19" s="38" t="s">
        <v>361</v>
      </c>
      <c r="E19" s="38" t="s">
        <v>339</v>
      </c>
      <c r="F19" s="38" t="s">
        <v>277</v>
      </c>
      <c r="G19" s="38" t="s">
        <v>283</v>
      </c>
      <c r="H19" s="38" t="s">
        <v>340</v>
      </c>
      <c r="I19" s="38" t="s">
        <v>341</v>
      </c>
      <c r="J19" s="38" t="s">
        <v>342</v>
      </c>
      <c r="K19" s="38" t="s">
        <v>343</v>
      </c>
    </row>
    <row r="20" customFormat="false" ht="15" hidden="false" customHeight="false" outlineLevel="0" collapsed="false">
      <c r="A20" s="29" t="str">
        <f aca="false">HyperMarkets!A6</f>
        <v>DHA Phase VIII + Sahil</v>
      </c>
      <c r="B20" s="29" t="str">
        <f aca="false">HyperMarkets!B6</f>
        <v>Karachi</v>
      </c>
      <c r="C20" s="29" t="str">
        <f aca="false">HyperMarkets!D6</f>
        <v>KHI-1</v>
      </c>
      <c r="D20" s="30" t="n">
        <f aca="false">HyperMarkets!F6</f>
        <v>12000</v>
      </c>
      <c r="E20" s="30" t="n">
        <f aca="false">PumpPoints!I28</f>
        <v>14400</v>
      </c>
      <c r="F20" s="39" t="n">
        <f aca="false">FeeSchedule!F28</f>
        <v>1.21453847618573</v>
      </c>
      <c r="G20" s="30" t="n">
        <f aca="false">FeeSchedule!L28</f>
        <v>1285272.36737505</v>
      </c>
      <c r="H20" s="23" t="n">
        <f aca="false">G20/10000000</f>
        <v>0.128527236737505</v>
      </c>
      <c r="I20" s="30" t="n">
        <f aca="false">Quotas!H28</f>
        <v>26.19211938294</v>
      </c>
      <c r="J20" s="30" t="n">
        <f aca="false">Economics!I28</f>
        <v>13096059.69147</v>
      </c>
      <c r="K20" s="30" t="n">
        <f aca="false">Economics!K28</f>
        <v>2720474.08620152</v>
      </c>
    </row>
    <row r="21" customFormat="false" ht="15" hidden="false" customHeight="false" outlineLevel="0" collapsed="false">
      <c r="A21" s="29" t="str">
        <f aca="false">HyperMarkets!A7</f>
        <v>Bahria Town Karachi</v>
      </c>
      <c r="B21" s="29" t="str">
        <f aca="false">HyperMarkets!B7</f>
        <v>Karachi</v>
      </c>
      <c r="C21" s="29" t="str">
        <f aca="false">HyperMarkets!D7</f>
        <v>KHI-4</v>
      </c>
      <c r="D21" s="30" t="n">
        <f aca="false">HyperMarkets!F7</f>
        <v>9000</v>
      </c>
      <c r="E21" s="30" t="n">
        <f aca="false">PumpPoints!I29</f>
        <v>10800</v>
      </c>
      <c r="F21" s="39" t="n">
        <f aca="false">FeeSchedule!F29</f>
        <v>0.97972322269029</v>
      </c>
      <c r="G21" s="30" t="n">
        <f aca="false">FeeSchedule!L29</f>
        <v>1036781.63392076</v>
      </c>
      <c r="H21" s="23" t="n">
        <f aca="false">G21/10000000</f>
        <v>0.103678163392076</v>
      </c>
      <c r="I21" s="30" t="n">
        <f aca="false">Quotas!H29</f>
        <v>19.644089537205</v>
      </c>
      <c r="J21" s="30" t="n">
        <f aca="false">Economics!I29</f>
        <v>9822044.7686025</v>
      </c>
      <c r="K21" s="30" t="n">
        <f aca="false">Economics!K29</f>
        <v>2031252.14485246</v>
      </c>
    </row>
    <row r="22" customFormat="false" ht="15" hidden="false" customHeight="false" outlineLevel="0" collapsed="false">
      <c r="A22" s="29" t="str">
        <f aca="false">HyperMarkets!A8</f>
        <v>DHA Lahore VII-IX + EME</v>
      </c>
      <c r="B22" s="29" t="str">
        <f aca="false">HyperMarkets!B8</f>
        <v>Lahore</v>
      </c>
      <c r="C22" s="29" t="str">
        <f aca="false">HyperMarkets!D8</f>
        <v>LHE-1</v>
      </c>
      <c r="D22" s="30" t="n">
        <f aca="false">HyperMarkets!F8</f>
        <v>14000</v>
      </c>
      <c r="E22" s="30" t="n">
        <f aca="false">PumpPoints!I30</f>
        <v>16800</v>
      </c>
      <c r="F22" s="39" t="n">
        <f aca="false">FeeSchedule!F30</f>
        <v>1.4242440280951</v>
      </c>
      <c r="G22" s="30" t="n">
        <f aca="false">FeeSchedule!L30</f>
        <v>1507191.0273756</v>
      </c>
      <c r="H22" s="23" t="n">
        <f aca="false">G22/10000000</f>
        <v>0.15071910273756</v>
      </c>
      <c r="I22" s="30" t="n">
        <f aca="false">Quotas!H30</f>
        <v>30.55747261343</v>
      </c>
      <c r="J22" s="30" t="n">
        <f aca="false">Economics!I30</f>
        <v>15278736.306715</v>
      </c>
      <c r="K22" s="30" t="n">
        <f aca="false">Economics!K30</f>
        <v>3172923.10905535</v>
      </c>
    </row>
    <row r="23" customFormat="false" ht="15" hidden="false" customHeight="false" outlineLevel="0" collapsed="false">
      <c r="A23" s="29" t="str">
        <f aca="false">HyperMarkets!A9</f>
        <v>Bahria Town Lahore + Lake City</v>
      </c>
      <c r="B23" s="29" t="str">
        <f aca="false">HyperMarkets!B9</f>
        <v>Lahore</v>
      </c>
      <c r="C23" s="29" t="str">
        <f aca="false">HyperMarkets!D9</f>
        <v>LHE-1</v>
      </c>
      <c r="D23" s="30" t="n">
        <f aca="false">HyperMarkets!F9</f>
        <v>7000</v>
      </c>
      <c r="E23" s="30" t="n">
        <f aca="false">PumpPoints!I31</f>
        <v>8400</v>
      </c>
      <c r="F23" s="39" t="n">
        <f aca="false">FeeSchedule!F31</f>
        <v>0.718457765161767</v>
      </c>
      <c r="G23" s="30" t="n">
        <f aca="false">FeeSchedule!L31</f>
        <v>760300.254618895</v>
      </c>
      <c r="H23" s="23" t="n">
        <f aca="false">G23/10000000</f>
        <v>0.0760300254618895</v>
      </c>
      <c r="I23" s="30" t="n">
        <f aca="false">Quotas!H31</f>
        <v>15.278736306715</v>
      </c>
      <c r="J23" s="30" t="n">
        <f aca="false">Economics!I31</f>
        <v>7639368.1533575</v>
      </c>
      <c r="K23" s="30" t="n">
        <f aca="false">Economics!K31</f>
        <v>1585623.46191129</v>
      </c>
    </row>
    <row r="24" customFormat="false" ht="15" hidden="false" customHeight="false" outlineLevel="0" collapsed="false">
      <c r="A24" s="29" t="str">
        <f aca="false">HyperMarkets!A10</f>
        <v>DHA Islamabad + Bahria Enclave</v>
      </c>
      <c r="B24" s="29" t="str">
        <f aca="false">HyperMarkets!B10</f>
        <v>Islamabad</v>
      </c>
      <c r="C24" s="29" t="str">
        <f aca="false">HyperMarkets!D10</f>
        <v>ISB-1</v>
      </c>
      <c r="D24" s="30" t="n">
        <f aca="false">HyperMarkets!F10</f>
        <v>8000</v>
      </c>
      <c r="E24" s="30" t="n">
        <f aca="false">PumpPoints!I32</f>
        <v>9600</v>
      </c>
      <c r="F24" s="39" t="n">
        <f aca="false">FeeSchedule!F32</f>
        <v>0.821344273529279</v>
      </c>
      <c r="G24" s="30" t="n">
        <f aca="false">FeeSchedule!L32</f>
        <v>869178.802950897</v>
      </c>
      <c r="H24" s="23" t="n">
        <f aca="false">G24/10000000</f>
        <v>0.0869178802950897</v>
      </c>
      <c r="I24" s="30" t="n">
        <f aca="false">Quotas!H32</f>
        <v>17.46141292196</v>
      </c>
      <c r="J24" s="30" t="n">
        <f aca="false">Economics!I32</f>
        <v>8730706.46098</v>
      </c>
      <c r="K24" s="30" t="n">
        <f aca="false">Economics!K32</f>
        <v>1812108.07104674</v>
      </c>
    </row>
    <row r="25" customFormat="false" ht="15" hidden="false" customHeight="false" outlineLevel="0" collapsed="false">
      <c r="A25" s="29" t="str">
        <f aca="false">HyperMarkets!A11</f>
        <v>Hayatabad Ph 6-7 + DHA Peshawar</v>
      </c>
      <c r="B25" s="29" t="str">
        <f aca="false">HyperMarkets!B11</f>
        <v>Peshawar</v>
      </c>
      <c r="C25" s="29" t="str">
        <f aca="false">HyperMarkets!D11</f>
        <v>PEW-1</v>
      </c>
      <c r="D25" s="30" t="n">
        <f aca="false">HyperMarkets!F11</f>
        <v>5000</v>
      </c>
      <c r="E25" s="30" t="n">
        <f aca="false">PumpPoints!I33</f>
        <v>6000</v>
      </c>
      <c r="F25" s="39" t="n">
        <f aca="false">FeeSchedule!F33</f>
        <v>0.510936955015923</v>
      </c>
      <c r="G25" s="30" t="n">
        <f aca="false">FeeSchedule!L33</f>
        <v>540693.574249758</v>
      </c>
      <c r="H25" s="23" t="n">
        <f aca="false">G25/10000000</f>
        <v>0.0540693574249758</v>
      </c>
      <c r="I25" s="30" t="n">
        <f aca="false">Quotas!H33</f>
        <v>10.913383076225</v>
      </c>
      <c r="J25" s="30" t="n">
        <f aca="false">Economics!I33</f>
        <v>5456691.5381125</v>
      </c>
      <c r="K25" s="30" t="n">
        <f aca="false">Economics!K33</f>
        <v>1132885.44160353</v>
      </c>
    </row>
    <row r="26" customFormat="false" ht="15" hidden="false" customHeight="false" outlineLevel="0" collapsed="false">
      <c r="A26" s="29" t="str">
        <f aca="false">HyperMarkets!A12</f>
        <v>DHA Multan</v>
      </c>
      <c r="B26" s="29" t="str">
        <f aca="false">HyperMarkets!B12</f>
        <v>Multan</v>
      </c>
      <c r="C26" s="29" t="str">
        <f aca="false">HyperMarkets!D12</f>
        <v>MUX-1</v>
      </c>
      <c r="D26" s="30" t="n">
        <f aca="false">HyperMarkets!F12</f>
        <v>4000</v>
      </c>
      <c r="E26" s="30" t="n">
        <f aca="false">PumpPoints!I34</f>
        <v>4800</v>
      </c>
      <c r="F26" s="39" t="n">
        <f aca="false">FeeSchedule!F34</f>
        <v>0.415041620291687</v>
      </c>
      <c r="G26" s="30" t="n">
        <f aca="false">FeeSchedule!L34</f>
        <v>439213.360738272</v>
      </c>
      <c r="H26" s="23" t="n">
        <f aca="false">G26/10000000</f>
        <v>0.0439213360738272</v>
      </c>
      <c r="I26" s="30" t="n">
        <f aca="false">Quotas!H34</f>
        <v>8.73070646098</v>
      </c>
      <c r="J26" s="30" t="n">
        <f aca="false">Economics!I34</f>
        <v>4365353.23049</v>
      </c>
      <c r="K26" s="30" t="n">
        <f aca="false">Economics!K34</f>
        <v>905476.040615516</v>
      </c>
    </row>
  </sheetData>
  <mergeCells count="1">
    <mergeCell ref="A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2026-09-08T19:57:32Z</dcterms:created>
  <dc:creator>openpyxl</dc:creator>
  <dc:description/>
  <dc:language>en-US</dc:language>
  <cp:lastModifiedBy/>
  <dcterms:modified xsi:type="dcterms:W3CDTF">2026-09-08T19:57:37Z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